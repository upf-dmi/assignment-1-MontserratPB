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linical_information_group0" sheetId="1" state="visible" r:id="rId2"/>
    <sheet name="Clinical_information_group1" sheetId="2" state="visible" r:id="rId3"/>
    <sheet name="Clinical_information_groupTotal" sheetId="3" state="visible" r:id="rId4"/>
    <sheet name="Clinical_information_group2" sheetId="4" state="visible" r:id="rId5"/>
    <sheet name="Clinical_information_group3" sheetId="5" state="visible" r:id="rId6"/>
    <sheet name="Legend" sheetId="6" state="visible" r:id="rId7"/>
    <sheet name="Clinical_information" sheetId="7" state="visible" r:id="rId8"/>
    <sheet name="Clinical_information_2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<sst xmlns="http://schemas.openxmlformats.org/spreadsheetml/2006/main" count="3203" uniqueCount="346">
  <si>
    <r>
      <rPr>
        <b val="true"/>
        <sz val="11"/>
        <rFont val="Arial"/>
        <family val="2"/>
        <charset val="1"/>
      </rPr>
      <t xml:space="preserve">Patient ID </t>
    </r>
    <r>
      <rPr>
        <b val="true"/>
        <vertAlign val="superscript"/>
        <sz val="11"/>
        <rFont val="Arial"/>
        <family val="2"/>
        <charset val="1"/>
      </rPr>
      <t xml:space="preserve">a</t>
    </r>
  </si>
  <si>
    <t xml:space="preserve">Proteomics</t>
  </si>
  <si>
    <r>
      <rPr>
        <b val="true"/>
        <sz val="11"/>
        <rFont val="Arial"/>
        <family val="2"/>
        <charset val="1"/>
      </rPr>
      <t xml:space="preserve">MS ID </t>
    </r>
    <r>
      <rPr>
        <b val="true"/>
        <vertAlign val="superscript"/>
        <sz val="11"/>
        <rFont val="Arial"/>
        <family val="2"/>
        <charset val="1"/>
      </rPr>
      <t xml:space="preserve">b</t>
    </r>
  </si>
  <si>
    <r>
      <rPr>
        <b val="true"/>
        <sz val="11"/>
        <rFont val="Arial"/>
        <family val="2"/>
        <charset val="1"/>
      </rPr>
      <t xml:space="preserve">MSRep ID </t>
    </r>
    <r>
      <rPr>
        <b val="true"/>
        <vertAlign val="superscript"/>
        <sz val="11"/>
        <rFont val="Arial"/>
        <family val="2"/>
        <charset val="1"/>
      </rPr>
      <t xml:space="preserve">c</t>
    </r>
  </si>
  <si>
    <r>
      <rPr>
        <b val="true"/>
        <sz val="11"/>
        <rFont val="Arial"/>
        <family val="2"/>
        <charset val="1"/>
      </rPr>
      <t xml:space="preserve">Group </t>
    </r>
    <r>
      <rPr>
        <b val="true"/>
        <vertAlign val="superscript"/>
        <sz val="11"/>
        <rFont val="Arial"/>
        <family val="2"/>
        <charset val="1"/>
      </rPr>
      <t xml:space="preserve">d</t>
    </r>
  </si>
  <si>
    <t xml:space="preserve">COVID-19 patients corhort</t>
  </si>
  <si>
    <t xml:space="preserve">Metabolomics analysis</t>
  </si>
  <si>
    <r>
      <rPr>
        <b val="true"/>
        <sz val="11"/>
        <rFont val="Arial"/>
        <family val="2"/>
        <charset val="1"/>
      </rPr>
      <t xml:space="preserve">Metabolomics ID </t>
    </r>
    <r>
      <rPr>
        <b val="true"/>
        <vertAlign val="superscript"/>
        <sz val="11"/>
        <rFont val="Arial"/>
        <family val="2"/>
        <charset val="1"/>
      </rPr>
      <t xml:space="preserve">e</t>
    </r>
  </si>
  <si>
    <r>
      <rPr>
        <b val="true"/>
        <sz val="11"/>
        <rFont val="Arial"/>
        <family val="2"/>
        <charset val="1"/>
      </rPr>
      <t xml:space="preserve">Onset date </t>
    </r>
    <r>
      <rPr>
        <b val="true"/>
        <vertAlign val="superscript"/>
        <sz val="11"/>
        <rFont val="Arial"/>
        <family val="2"/>
        <charset val="1"/>
      </rPr>
      <t xml:space="preserve">f</t>
    </r>
  </si>
  <si>
    <t xml:space="preserve">Admission date</t>
  </si>
  <si>
    <t xml:space="preserve">Date of progression to severe state</t>
  </si>
  <si>
    <t xml:space="preserve">Sampling date for metabolomics</t>
  </si>
  <si>
    <t xml:space="preserve">Sampling date for proteomics</t>
  </si>
  <si>
    <t xml:space="preserve">Discharge Date</t>
  </si>
  <si>
    <r>
      <rPr>
        <b val="true"/>
        <sz val="11"/>
        <rFont val="Arial"/>
        <family val="2"/>
        <charset val="1"/>
      </rPr>
      <t xml:space="preserve">Sex </t>
    </r>
    <r>
      <rPr>
        <b val="true"/>
        <vertAlign val="superscript"/>
        <sz val="11"/>
        <rFont val="Arial"/>
        <family val="2"/>
        <charset val="1"/>
      </rPr>
      <t xml:space="preserve">g</t>
    </r>
  </si>
  <si>
    <t xml:space="preserve">Age (year)</t>
  </si>
  <si>
    <r>
      <rPr>
        <b val="true"/>
        <sz val="11"/>
        <rFont val="Arial"/>
        <family val="2"/>
        <charset val="1"/>
      </rPr>
      <t xml:space="preserve">BMI </t>
    </r>
    <r>
      <rPr>
        <b val="true"/>
        <vertAlign val="superscript"/>
        <sz val="11"/>
        <rFont val="Arial"/>
        <family val="2"/>
        <charset val="1"/>
      </rPr>
      <t xml:space="preserve">h</t>
    </r>
  </si>
  <si>
    <t xml:space="preserve">Test date</t>
  </si>
  <si>
    <r>
      <rPr>
        <b val="true"/>
        <sz val="11"/>
        <rFont val="Arial"/>
        <family val="2"/>
        <charset val="1"/>
      </rPr>
      <t xml:space="preserve">WBC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</si>
  <si>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Lymphocyte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</si>
  <si>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Monocyte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</si>
  <si>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Platelet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</si>
  <si>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CRP </t>
    </r>
    <r>
      <rPr>
        <b val="true"/>
        <vertAlign val="superscript"/>
        <sz val="11"/>
        <rFont val="Arial"/>
        <family val="2"/>
        <charset val="1"/>
      </rPr>
      <t xml:space="preserve">i</t>
    </r>
    <r>
      <rPr>
        <b val="true"/>
        <sz val="11"/>
        <rFont val="Arial"/>
        <family val="2"/>
        <charset val="1"/>
      </rPr>
      <t xml:space="preserve">, mg/L</t>
    </r>
  </si>
  <si>
    <r>
      <rPr>
        <b val="true"/>
        <sz val="11"/>
        <rFont val="Arial"/>
        <family val="2"/>
        <charset val="1"/>
      </rPr>
      <t xml:space="preserve">ALT </t>
    </r>
    <r>
      <rPr>
        <b val="true"/>
        <vertAlign val="superscript"/>
        <sz val="11"/>
        <rFont val="Arial"/>
        <family val="2"/>
        <charset val="1"/>
      </rPr>
      <t xml:space="preserve">j</t>
    </r>
    <r>
      <rPr>
        <b val="true"/>
        <sz val="11"/>
        <rFont val="Arial"/>
        <family val="2"/>
        <charset val="1"/>
      </rPr>
      <t xml:space="preserve">,  U/L</t>
    </r>
  </si>
  <si>
    <r>
      <rPr>
        <b val="true"/>
        <sz val="11"/>
        <rFont val="Arial"/>
        <family val="2"/>
        <charset val="1"/>
      </rPr>
      <t xml:space="preserve">AST </t>
    </r>
    <r>
      <rPr>
        <b val="true"/>
        <vertAlign val="superscript"/>
        <sz val="11"/>
        <rFont val="Arial"/>
        <family val="2"/>
        <charset val="1"/>
      </rPr>
      <t xml:space="preserve">k</t>
    </r>
    <r>
      <rPr>
        <b val="true"/>
        <sz val="11"/>
        <rFont val="Arial"/>
        <family val="2"/>
        <charset val="1"/>
      </rPr>
      <t xml:space="preserve">, U/L</t>
    </r>
  </si>
  <si>
    <r>
      <rPr>
        <b val="true"/>
        <sz val="11"/>
        <rFont val="Arial"/>
        <family val="2"/>
        <charset val="1"/>
      </rPr>
      <t xml:space="preserve">GGT</t>
    </r>
    <r>
      <rPr>
        <b val="true"/>
        <vertAlign val="superscript"/>
        <sz val="11"/>
        <rFont val="Arial"/>
        <family val="2"/>
        <charset val="1"/>
      </rPr>
      <t xml:space="preserve"> l</t>
    </r>
    <r>
      <rPr>
        <b val="true"/>
        <sz val="11"/>
        <rFont val="Arial"/>
        <family val="2"/>
        <charset val="1"/>
      </rPr>
      <t xml:space="preserve">, U/L</t>
    </r>
  </si>
  <si>
    <r>
      <rPr>
        <b val="true"/>
        <sz val="11"/>
        <rFont val="Arial"/>
        <family val="2"/>
        <charset val="1"/>
      </rPr>
      <t xml:space="preserve">TBIL </t>
    </r>
    <r>
      <rPr>
        <b val="true"/>
        <vertAlign val="superscript"/>
        <sz val="11"/>
        <rFont val="Arial"/>
        <family val="2"/>
        <charset val="1"/>
      </rPr>
      <t xml:space="preserve">m</t>
    </r>
    <r>
      <rPr>
        <b val="true"/>
        <sz val="11"/>
        <rFont val="Arial"/>
        <family val="2"/>
        <charset val="1"/>
      </rPr>
      <t xml:space="preserve">, μmol/L</t>
    </r>
  </si>
  <si>
    <r>
      <rPr>
        <b val="true"/>
        <sz val="11"/>
        <rFont val="Arial"/>
        <family val="2"/>
        <charset val="1"/>
      </rPr>
      <t xml:space="preserve">DBIL </t>
    </r>
    <r>
      <rPr>
        <b val="true"/>
        <vertAlign val="superscript"/>
        <sz val="11"/>
        <rFont val="Arial"/>
        <family val="2"/>
        <charset val="1"/>
      </rPr>
      <t xml:space="preserve">n</t>
    </r>
    <r>
      <rPr>
        <b val="true"/>
        <sz val="11"/>
        <rFont val="Arial"/>
        <family val="2"/>
        <charset val="1"/>
      </rPr>
      <t xml:space="preserve">, μmol/L</t>
    </r>
  </si>
  <si>
    <t xml:space="preserve">Creatinine, μmol/L</t>
  </si>
  <si>
    <t xml:space="preserve">Glucose, mmol/L</t>
  </si>
  <si>
    <t xml:space="preserve">HC1</t>
  </si>
  <si>
    <t xml:space="preserve">Yes</t>
  </si>
  <si>
    <t xml:space="preserve">F1_131C</t>
  </si>
  <si>
    <t xml:space="preserve">/</t>
  </si>
  <si>
    <t xml:space="preserve">jkdz1</t>
  </si>
  <si>
    <t xml:space="preserve">HC2</t>
  </si>
  <si>
    <t xml:space="preserve">F1_131N</t>
  </si>
  <si>
    <t xml:space="preserve">jkdz2</t>
  </si>
  <si>
    <t xml:space="preserve">HC3</t>
  </si>
  <si>
    <t xml:space="preserve">F1_132C</t>
  </si>
  <si>
    <t xml:space="preserve">jkdz3</t>
  </si>
  <si>
    <t xml:space="preserve">HC4</t>
  </si>
  <si>
    <t xml:space="preserve">F2_131C</t>
  </si>
  <si>
    <t xml:space="preserve">jkdz4</t>
  </si>
  <si>
    <t xml:space="preserve">HC5</t>
  </si>
  <si>
    <t xml:space="preserve">F2_131N</t>
  </si>
  <si>
    <t xml:space="preserve">jkdz5</t>
  </si>
  <si>
    <t xml:space="preserve">HC6</t>
  </si>
  <si>
    <t xml:space="preserve">F2_132C</t>
  </si>
  <si>
    <t xml:space="preserve">jkdz6</t>
  </si>
  <si>
    <t xml:space="preserve">HC7</t>
  </si>
  <si>
    <t xml:space="preserve">F3_131C</t>
  </si>
  <si>
    <t xml:space="preserve">jkdz7</t>
  </si>
  <si>
    <t xml:space="preserve">HC8</t>
  </si>
  <si>
    <t xml:space="preserve">No</t>
  </si>
  <si>
    <t xml:space="preserve">jkdz8</t>
  </si>
  <si>
    <t xml:space="preserve">HC9</t>
  </si>
  <si>
    <t xml:space="preserve">F3_132C</t>
  </si>
  <si>
    <t xml:space="preserve">jkdz9</t>
  </si>
  <si>
    <t xml:space="preserve">HC10</t>
  </si>
  <si>
    <t xml:space="preserve">F4_131C</t>
  </si>
  <si>
    <t xml:space="preserve">jkdz10</t>
  </si>
  <si>
    <t xml:space="preserve">HC11</t>
  </si>
  <si>
    <t xml:space="preserve">jkdz11</t>
  </si>
  <si>
    <t xml:space="preserve">HC12</t>
  </si>
  <si>
    <t xml:space="preserve">F4_131N</t>
  </si>
  <si>
    <t xml:space="preserve">jkdz12</t>
  </si>
  <si>
    <t xml:space="preserve">HC13</t>
  </si>
  <si>
    <t xml:space="preserve">F4_132C</t>
  </si>
  <si>
    <t xml:space="preserve">jkdz13</t>
  </si>
  <si>
    <t xml:space="preserve">HC14</t>
  </si>
  <si>
    <t xml:space="preserve">jkdz14</t>
  </si>
  <si>
    <t xml:space="preserve">HC15</t>
  </si>
  <si>
    <t xml:space="preserve">jkdz15</t>
  </si>
  <si>
    <t xml:space="preserve">HC16</t>
  </si>
  <si>
    <t xml:space="preserve">jkdz16</t>
  </si>
  <si>
    <t xml:space="preserve">HC17</t>
  </si>
  <si>
    <t xml:space="preserve">F5_132C</t>
  </si>
  <si>
    <t xml:space="preserve">jkdz17</t>
  </si>
  <si>
    <t xml:space="preserve">HC18</t>
  </si>
  <si>
    <t xml:space="preserve">jkdz18</t>
  </si>
  <si>
    <t xml:space="preserve">HC19</t>
  </si>
  <si>
    <t xml:space="preserve">F6_131C</t>
  </si>
  <si>
    <t xml:space="preserve">jkdz19</t>
  </si>
  <si>
    <t xml:space="preserve">HC20</t>
  </si>
  <si>
    <t xml:space="preserve">F6_131N</t>
  </si>
  <si>
    <t xml:space="preserve">jkdz20</t>
  </si>
  <si>
    <t xml:space="preserve">HC21</t>
  </si>
  <si>
    <t xml:space="preserve">jkdz21</t>
  </si>
  <si>
    <t xml:space="preserve">HC22</t>
  </si>
  <si>
    <t xml:space="preserve">F7_131C</t>
  </si>
  <si>
    <t xml:space="preserve">F8_133N</t>
  </si>
  <si>
    <t xml:space="preserve">jkdz22</t>
  </si>
  <si>
    <t xml:space="preserve">HC23</t>
  </si>
  <si>
    <t xml:space="preserve">F7_131N</t>
  </si>
  <si>
    <t xml:space="preserve">jkdz23</t>
  </si>
  <si>
    <t xml:space="preserve">HC24</t>
  </si>
  <si>
    <t xml:space="preserve">F8_131C</t>
  </si>
  <si>
    <t xml:space="preserve">jkdz24</t>
  </si>
  <si>
    <t xml:space="preserve">HC25</t>
  </si>
  <si>
    <t xml:space="preserve">F8_131N</t>
  </si>
  <si>
    <t xml:space="preserve">jkdz25</t>
  </si>
  <si>
    <t xml:space="preserve">HC26</t>
  </si>
  <si>
    <t xml:space="preserve">F3_131N</t>
  </si>
  <si>
    <t xml:space="preserve">HC27</t>
  </si>
  <si>
    <t xml:space="preserve">F5_131N</t>
  </si>
  <si>
    <t xml:space="preserve">HC28</t>
  </si>
  <si>
    <t xml:space="preserve">F6_132C</t>
  </si>
  <si>
    <t xml:space="preserve">JBDZ1</t>
  </si>
  <si>
    <t xml:space="preserve">F1_129N</t>
  </si>
  <si>
    <t xml:space="preserve">jbdz1</t>
  </si>
  <si>
    <t xml:space="preserve">JBDZ2</t>
  </si>
  <si>
    <t xml:space="preserve">F1_130C</t>
  </si>
  <si>
    <t xml:space="preserve">jbdz2</t>
  </si>
  <si>
    <t xml:space="preserve">JBDZ3</t>
  </si>
  <si>
    <t xml:space="preserve">F1_130N</t>
  </si>
  <si>
    <t xml:space="preserve">jbdz3</t>
  </si>
  <si>
    <t xml:space="preserve">JBDZ4</t>
  </si>
  <si>
    <t xml:space="preserve">F2_129N</t>
  </si>
  <si>
    <t xml:space="preserve">jbdz4</t>
  </si>
  <si>
    <t xml:space="preserve">JBDZ5</t>
  </si>
  <si>
    <t xml:space="preserve">F2_130C</t>
  </si>
  <si>
    <t xml:space="preserve">jbdz5</t>
  </si>
  <si>
    <t xml:space="preserve">JBDZ6</t>
  </si>
  <si>
    <t xml:space="preserve">F2_130N</t>
  </si>
  <si>
    <t xml:space="preserve">jbdz6</t>
  </si>
  <si>
    <t xml:space="preserve">JBDZ7</t>
  </si>
  <si>
    <t xml:space="preserve">F3_129N</t>
  </si>
  <si>
    <t xml:space="preserve">jbdz7</t>
  </si>
  <si>
    <t xml:space="preserve">JBDZ8</t>
  </si>
  <si>
    <t xml:space="preserve">F3_130C</t>
  </si>
  <si>
    <t xml:space="preserve">jbdz8</t>
  </si>
  <si>
    <t xml:space="preserve">JBDZ9</t>
  </si>
  <si>
    <t xml:space="preserve">F3_130N</t>
  </si>
  <si>
    <t xml:space="preserve">F3_133N</t>
  </si>
  <si>
    <t xml:space="preserve">jbdz9</t>
  </si>
  <si>
    <t xml:space="preserve">JBDZ10</t>
  </si>
  <si>
    <t xml:space="preserve">F4_129N</t>
  </si>
  <si>
    <t xml:space="preserve">jbdz10</t>
  </si>
  <si>
    <t xml:space="preserve">JBDZ11</t>
  </si>
  <si>
    <t xml:space="preserve">F4_130C</t>
  </si>
  <si>
    <t xml:space="preserve">jbdz11</t>
  </si>
  <si>
    <t xml:space="preserve">JBDZ12</t>
  </si>
  <si>
    <t xml:space="preserve">F4_130N</t>
  </si>
  <si>
    <t xml:space="preserve">jbdz12</t>
  </si>
  <si>
    <t xml:space="preserve">JBDZ13</t>
  </si>
  <si>
    <t xml:space="preserve">F5_129N</t>
  </si>
  <si>
    <t xml:space="preserve">jbdz13</t>
  </si>
  <si>
    <t xml:space="preserve">JBDZ14</t>
  </si>
  <si>
    <t xml:space="preserve">F5_130C</t>
  </si>
  <si>
    <t xml:space="preserve">jbdz14</t>
  </si>
  <si>
    <t xml:space="preserve">&lt;1.3</t>
  </si>
  <si>
    <t xml:space="preserve">JBDZ15</t>
  </si>
  <si>
    <t xml:space="preserve">F5_130N</t>
  </si>
  <si>
    <t xml:space="preserve">jbdz15</t>
  </si>
  <si>
    <t xml:space="preserve">JBDZ16</t>
  </si>
  <si>
    <t xml:space="preserve">F6_129N</t>
  </si>
  <si>
    <t xml:space="preserve">jbdz16</t>
  </si>
  <si>
    <t xml:space="preserve">JBDZ17</t>
  </si>
  <si>
    <t xml:space="preserve">F6_130C</t>
  </si>
  <si>
    <t xml:space="preserve">jbdz17</t>
  </si>
  <si>
    <t xml:space="preserve">JBDZ18</t>
  </si>
  <si>
    <t xml:space="preserve">F6_130N</t>
  </si>
  <si>
    <t xml:space="preserve">jbdz18</t>
  </si>
  <si>
    <t xml:space="preserve">JBDZ19</t>
  </si>
  <si>
    <t xml:space="preserve">F7_129N</t>
  </si>
  <si>
    <t xml:space="preserve">jbdz19</t>
  </si>
  <si>
    <t xml:space="preserve">JBDZ20</t>
  </si>
  <si>
    <t xml:space="preserve">F7_130C</t>
  </si>
  <si>
    <t xml:space="preserve">jbdz20</t>
  </si>
  <si>
    <t xml:space="preserve">JBDZ21</t>
  </si>
  <si>
    <t xml:space="preserve">F7_130N</t>
  </si>
  <si>
    <t xml:space="preserve">jbdz21</t>
  </si>
  <si>
    <t xml:space="preserve">JBDZ22</t>
  </si>
  <si>
    <t xml:space="preserve">F8_129N</t>
  </si>
  <si>
    <t xml:space="preserve">F7_133N</t>
  </si>
  <si>
    <t xml:space="preserve">jbdz22</t>
  </si>
  <si>
    <t xml:space="preserve">JBDZ23</t>
  </si>
  <si>
    <t xml:space="preserve">jbdz23</t>
  </si>
  <si>
    <t xml:space="preserve">JBDZ24</t>
  </si>
  <si>
    <t xml:space="preserve">F8_130C</t>
  </si>
  <si>
    <t xml:space="preserve">jbdz24</t>
  </si>
  <si>
    <t xml:space="preserve">JBDZ25</t>
  </si>
  <si>
    <t xml:space="preserve">F8_130N</t>
  </si>
  <si>
    <t xml:space="preserve">jbdz25</t>
  </si>
  <si>
    <t xml:space="preserve">XG26</t>
  </si>
  <si>
    <t xml:space="preserve">F1_128C</t>
  </si>
  <si>
    <t xml:space="preserve">Training (C1)</t>
  </si>
  <si>
    <t xml:space="preserve">ZX1</t>
  </si>
  <si>
    <t xml:space="preserve">XG27</t>
  </si>
  <si>
    <t xml:space="preserve">F1_128N</t>
  </si>
  <si>
    <t xml:space="preserve">ZX2</t>
  </si>
  <si>
    <t xml:space="preserve">XG28</t>
  </si>
  <si>
    <t xml:space="preserve">ZX3</t>
  </si>
  <si>
    <t xml:space="preserve">XG29</t>
  </si>
  <si>
    <t xml:space="preserve">F2_128C</t>
  </si>
  <si>
    <t xml:space="preserve">ZX4</t>
  </si>
  <si>
    <t xml:space="preserve">XG30</t>
  </si>
  <si>
    <t xml:space="preserve">ZX5</t>
  </si>
  <si>
    <t xml:space="preserve">XG31</t>
  </si>
  <si>
    <t xml:space="preserve">F2_129C</t>
  </si>
  <si>
    <t xml:space="preserve">ZX6</t>
  </si>
  <si>
    <t xml:space="preserve">XG32</t>
  </si>
  <si>
    <t xml:space="preserve">ZX7</t>
  </si>
  <si>
    <t xml:space="preserve">XG33</t>
  </si>
  <si>
    <t xml:space="preserve">F3_128C</t>
  </si>
  <si>
    <t xml:space="preserve">F6_133N</t>
  </si>
  <si>
    <t xml:space="preserve">ZX8</t>
  </si>
  <si>
    <t xml:space="preserve">XG34</t>
  </si>
  <si>
    <t xml:space="preserve">F3_128N</t>
  </si>
  <si>
    <t xml:space="preserve">ZX9</t>
  </si>
  <si>
    <t xml:space="preserve">XG35</t>
  </si>
  <si>
    <t xml:space="preserve">F3_129C</t>
  </si>
  <si>
    <t xml:space="preserve">ZX10</t>
  </si>
  <si>
    <t xml:space="preserve">XG36</t>
  </si>
  <si>
    <t xml:space="preserve">F4_128C</t>
  </si>
  <si>
    <t xml:space="preserve">ZX11</t>
  </si>
  <si>
    <t xml:space="preserve">XG37</t>
  </si>
  <si>
    <t xml:space="preserve">F4_128N</t>
  </si>
  <si>
    <t xml:space="preserve">ZX12</t>
  </si>
  <si>
    <t xml:space="preserve">XG38</t>
  </si>
  <si>
    <t xml:space="preserve">F5_128C</t>
  </si>
  <si>
    <t xml:space="preserve">ZX13</t>
  </si>
  <si>
    <t xml:space="preserve">XG39</t>
  </si>
  <si>
    <t xml:space="preserve">F5_128N</t>
  </si>
  <si>
    <t xml:space="preserve">ZX14</t>
  </si>
  <si>
    <t xml:space="preserve">XG40</t>
  </si>
  <si>
    <t xml:space="preserve">F6_128C</t>
  </si>
  <si>
    <t xml:space="preserve">ZX15</t>
  </si>
  <si>
    <t xml:space="preserve">XG41</t>
  </si>
  <si>
    <t xml:space="preserve">ZX16</t>
  </si>
  <si>
    <t xml:space="preserve">XG42</t>
  </si>
  <si>
    <t xml:space="preserve">F6_128N</t>
  </si>
  <si>
    <t xml:space="preserve">ZX17</t>
  </si>
  <si>
    <t xml:space="preserve">XG43</t>
  </si>
  <si>
    <t xml:space="preserve">F7_128C</t>
  </si>
  <si>
    <t xml:space="preserve">Test 1 (C2)</t>
  </si>
  <si>
    <t xml:space="preserve">ZX18</t>
  </si>
  <si>
    <t xml:space="preserve">XG44</t>
  </si>
  <si>
    <t xml:space="preserve">F7_128N</t>
  </si>
  <si>
    <t xml:space="preserve">ZX19</t>
  </si>
  <si>
    <t xml:space="preserve">XG45</t>
  </si>
  <si>
    <t xml:space="preserve">F8_128C</t>
  </si>
  <si>
    <t xml:space="preserve">ZX20</t>
  </si>
  <si>
    <t xml:space="preserve">XG46</t>
  </si>
  <si>
    <t xml:space="preserve">F8_128N</t>
  </si>
  <si>
    <t xml:space="preserve">ZX21</t>
  </si>
  <si>
    <t xml:space="preserve">X2-7</t>
  </si>
  <si>
    <t xml:space="preserve">Test 2 (C3)</t>
  </si>
  <si>
    <t xml:space="preserve">X2-13</t>
  </si>
  <si>
    <t xml:space="preserve">X2-14</t>
  </si>
  <si>
    <t xml:space="preserve">X2-16</t>
  </si>
  <si>
    <t xml:space="preserve">X2-18</t>
  </si>
  <si>
    <t xml:space="preserve">X2-19</t>
  </si>
  <si>
    <t xml:space="preserve">X2-12</t>
  </si>
  <si>
    <t xml:space="preserve">XG1</t>
  </si>
  <si>
    <t xml:space="preserve">F1_126</t>
  </si>
  <si>
    <t xml:space="preserve">F1_133N</t>
  </si>
  <si>
    <t xml:space="preserve">PT1</t>
  </si>
  <si>
    <t xml:space="preserve">XG2</t>
  </si>
  <si>
    <t xml:space="preserve">F1_127N</t>
  </si>
  <si>
    <t xml:space="preserve">PT2</t>
  </si>
  <si>
    <t xml:space="preserve">XG3</t>
  </si>
  <si>
    <t xml:space="preserve">F1_127C</t>
  </si>
  <si>
    <t xml:space="preserve">PT3</t>
  </si>
  <si>
    <t xml:space="preserve">XG4</t>
  </si>
  <si>
    <t xml:space="preserve">F2_126</t>
  </si>
  <si>
    <t xml:space="preserve">PT4</t>
  </si>
  <si>
    <t xml:space="preserve">XG5</t>
  </si>
  <si>
    <t xml:space="preserve">F2_127N</t>
  </si>
  <si>
    <t xml:space="preserve">PT5</t>
  </si>
  <si>
    <t xml:space="preserve">XG6</t>
  </si>
  <si>
    <t xml:space="preserve">F2_127C</t>
  </si>
  <si>
    <t xml:space="preserve">PT6</t>
  </si>
  <si>
    <t xml:space="preserve">XG7</t>
  </si>
  <si>
    <t xml:space="preserve">F3_126</t>
  </si>
  <si>
    <t xml:space="preserve">F5_133N</t>
  </si>
  <si>
    <t xml:space="preserve">PT7</t>
  </si>
  <si>
    <t xml:space="preserve">XG8</t>
  </si>
  <si>
    <t xml:space="preserve">F3_127N</t>
  </si>
  <si>
    <t xml:space="preserve">PT8</t>
  </si>
  <si>
    <t xml:space="preserve">XG9</t>
  </si>
  <si>
    <t xml:space="preserve">F3_127C</t>
  </si>
  <si>
    <t xml:space="preserve">PT9</t>
  </si>
  <si>
    <t xml:space="preserve">XG10</t>
  </si>
  <si>
    <t xml:space="preserve">F4_126</t>
  </si>
  <si>
    <t xml:space="preserve">PT10</t>
  </si>
  <si>
    <t xml:space="preserve">XG11</t>
  </si>
  <si>
    <t xml:space="preserve">F4_127N</t>
  </si>
  <si>
    <t xml:space="preserve">PT11</t>
  </si>
  <si>
    <t xml:space="preserve">XG12</t>
  </si>
  <si>
    <t xml:space="preserve">PT12</t>
  </si>
  <si>
    <t xml:space="preserve">XG13</t>
  </si>
  <si>
    <t xml:space="preserve">F4_127C</t>
  </si>
  <si>
    <t xml:space="preserve">PT13</t>
  </si>
  <si>
    <t xml:space="preserve">XG14</t>
  </si>
  <si>
    <t xml:space="preserve">F5_126</t>
  </si>
  <si>
    <t xml:space="preserve">PT14</t>
  </si>
  <si>
    <t xml:space="preserve">XG15</t>
  </si>
  <si>
    <t xml:space="preserve">F5_127N</t>
  </si>
  <si>
    <t xml:space="preserve">PT15</t>
  </si>
  <si>
    <t xml:space="preserve">XG16</t>
  </si>
  <si>
    <t xml:space="preserve">F5_127C</t>
  </si>
  <si>
    <t xml:space="preserve">PT16</t>
  </si>
  <si>
    <t xml:space="preserve">XG17</t>
  </si>
  <si>
    <t xml:space="preserve">F6_126</t>
  </si>
  <si>
    <t xml:space="preserve">PT17</t>
  </si>
  <si>
    <t xml:space="preserve">XG18</t>
  </si>
  <si>
    <t xml:space="preserve">F6_127N</t>
  </si>
  <si>
    <t xml:space="preserve">PT18</t>
  </si>
  <si>
    <t xml:space="preserve">XG19</t>
  </si>
  <si>
    <t xml:space="preserve">F6_127C</t>
  </si>
  <si>
    <t xml:space="preserve">PT19</t>
  </si>
  <si>
    <t xml:space="preserve">XG20</t>
  </si>
  <si>
    <t xml:space="preserve">F7_126</t>
  </si>
  <si>
    <t xml:space="preserve">PT20</t>
  </si>
  <si>
    <t xml:space="preserve">XG21</t>
  </si>
  <si>
    <t xml:space="preserve">F7_127N</t>
  </si>
  <si>
    <t xml:space="preserve">PT21</t>
  </si>
  <si>
    <t xml:space="preserve">XG22</t>
  </si>
  <si>
    <t xml:space="preserve">F7_127C</t>
  </si>
  <si>
    <t xml:space="preserve">PT22</t>
  </si>
  <si>
    <t xml:space="preserve">XG23</t>
  </si>
  <si>
    <t xml:space="preserve">F8_126</t>
  </si>
  <si>
    <t xml:space="preserve">PT23</t>
  </si>
  <si>
    <t xml:space="preserve">XG24</t>
  </si>
  <si>
    <t xml:space="preserve">F8_127N</t>
  </si>
  <si>
    <t xml:space="preserve">PT24</t>
  </si>
  <si>
    <t xml:space="preserve">XG25</t>
  </si>
  <si>
    <t xml:space="preserve">F8_127C</t>
  </si>
  <si>
    <t xml:space="preserve">PT25</t>
  </si>
  <si>
    <t xml:space="preserve">X2-2</t>
  </si>
  <si>
    <t xml:space="preserve">X2-3</t>
  </si>
  <si>
    <t xml:space="preserve">X2-8</t>
  </si>
  <si>
    <t xml:space="preserve">X2-9</t>
  </si>
  <si>
    <t xml:space="preserve">X2-11</t>
  </si>
  <si>
    <t xml:space="preserve">X2-20</t>
  </si>
  <si>
    <t xml:space="preserve">X2-21</t>
  </si>
  <si>
    <t xml:space="preserve">X2-22</t>
  </si>
  <si>
    <t xml:space="preserve">X2-23</t>
  </si>
  <si>
    <t xml:space="preserve">X2-24</t>
  </si>
  <si>
    <t xml:space="preserve">X2-26</t>
  </si>
  <si>
    <t xml:space="preserve">X2-28</t>
  </si>
  <si>
    <t xml:space="preserve">onset_to_admi</t>
  </si>
  <si>
    <t xml:space="preserve">admi_to_severe</t>
  </si>
  <si>
    <t xml:space="preserve">this wp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</si>
</sst>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_);[RED]\(0.0\)"/>
    <numFmt numFmtId="167" formatCode="0.0_ "/>
    <numFmt numFmtId="168" formatCode="0.00_ "/>
    <numFmt numFmtId="169" formatCode="#,##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vertAlign val="superscript"/>
      <sz val="11"/>
      <name val="Arial"/>
      <family val="2"/>
      <charset val="1"/>
    </font>
    <font>
      <vertAlign val="superscript"/>
      <sz val="11"/>
      <name val="Arial"/>
      <family val="2"/>
      <charset val="1"/>
    </font>
    <font>
      <b val="true"/>
      <sz val="11"/>
      <color rgb="FF000000"/>
      <name val="Arial"/>
      <family val="0"/>
    </font>
    <font>
      <sz val="11"/>
      <color rgb="FF000000"/>
      <name val="Arial"/>
      <family val="0"/>
    </font>
    <font>
      <sz val="11"/>
      <name val="Times New Roman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512640</xdr:colOff>
      <xdr:row>15</xdr:row>
      <xdr:rowOff>150480</xdr:rowOff>
    </xdr:to>
    <xdr:sp>
      <xdr:nvSpPr>
        <xdr:cNvPr id="0" name="文本框 2"/>
        <xdr:cNvSpPr/>
      </xdr:nvSpPr>
      <xdr:spPr>
        <a:xfrm>
          <a:off x="0" y="0"/>
          <a:ext cx="8367480" cy="300816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100" spc="-1" strike="noStrike">
              <a:solidFill>
                <a:srgbClr val="000000"/>
              </a:solidFill>
              <a:latin typeface="Arial"/>
            </a:rPr>
            <a:t>Table S1. Additional demographical and baseline characteristics of COVID-19 patients and control groups.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a Patient ID, the ID of a patient.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b MS ID, the ID of the sample analyzed for TMT-based shotgun proteomics. The number after "F" indicates the batch ID. The ID after "_" denotes the label for TMTpro™ 16plex Label.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c MSRep ID, the technical replicate for TMT-based  proteomics.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d Group, patient type. 0, healthy; 1, non-COVID-19; 2, non-Severe; 3, Severe.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e Metabolomics ID, the ID of sample analyzed for metabolomics. 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f Oneset date, the date when a patient manifested fever, cough and/or other symptoms.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g Sex, 0, Female; 1, Male.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h BMI, Body Mass Index.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i CRP, C-reactive protein.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j ALT, alanine aminotransferase.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k AST, aspartate aminotransferase.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l GGT, glutamyltransferase.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m TBIL, total bilirubin.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rial"/>
            </a:rPr>
            <a:t>n DBIL, direct bilirubin.</a:t>
          </a:r>
          <a:endParaRPr b="0" lang="en-GB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endParaRPr b="0" lang="en-GB" sz="1100" spc="-1" strike="noStrike">
            <a:latin typeface="Times New Roman"/>
          </a:endParaRPr>
        </a:p>
      </xdr:txBody>
    </xdr:sp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P31" activeCellId="2" sqref="X:AE S:V P31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2.66"/>
    <col collapsed="false" customWidth="true" hidden="false" outlineLevel="0" max="3" min="3" style="1" width="15.83"/>
    <col collapsed="false" customWidth="true" hidden="false" outlineLevel="0" max="4" min="4" style="1" width="11.83"/>
    <col collapsed="false" customWidth="true" hidden="false" outlineLevel="0" max="5" min="5" style="1" width="9.83"/>
    <col collapsed="false" customWidth="true" hidden="false" outlineLevel="0" max="6" min="6" style="1" width="15.83"/>
    <col collapsed="false" customWidth="true" hidden="false" outlineLevel="0" max="7" min="7" style="1" width="14.66"/>
    <col collapsed="false" customWidth="true" hidden="false" outlineLevel="0" max="8" min="8" style="1" width="15.83"/>
    <col collapsed="false" customWidth="true" hidden="false" outlineLevel="0" max="9" min="9" style="2" width="11.66"/>
    <col collapsed="false" customWidth="true" hidden="false" outlineLevel="0" max="10" min="10" style="2" width="15.83"/>
    <col collapsed="false" customWidth="true" hidden="false" outlineLevel="0" max="11" min="11" style="2" width="14"/>
    <col collapsed="false" customWidth="true" hidden="false" outlineLevel="0" max="13" min="12" style="2" width="9.83"/>
    <col collapsed="false" customWidth="true" hidden="false" outlineLevel="0" max="14" min="14" style="2" width="11.66"/>
    <col collapsed="false" customWidth="false" hidden="false" outlineLevel="0" max="16" min="15" style="1" width="9"/>
    <col collapsed="false" customWidth="true" hidden="false" outlineLevel="0" max="17" min="17" style="1" width="11.33"/>
    <col collapsed="false" customWidth="false" hidden="false" outlineLevel="0" max="18" min="18" style="3" width="9"/>
    <col collapsed="false" customWidth="true" hidden="false" outlineLevel="0" max="19" min="19" style="3" width="12"/>
    <col collapsed="false" customWidth="true" hidden="false" outlineLevel="0" max="20" min="20" style="3" width="10.17"/>
    <col collapsed="false" customWidth="false" hidden="false" outlineLevel="0" max="21" min="21" style="1" width="9"/>
    <col collapsed="false" customWidth="true" hidden="false" outlineLevel="0" max="22" min="22" style="2" width="9.51"/>
    <col collapsed="false" customWidth="false" hidden="false" outlineLevel="0" max="23" min="23" style="4" width="9"/>
    <col collapsed="false" customWidth="false" hidden="false" outlineLevel="0" max="26" min="24" style="1" width="9"/>
    <col collapsed="false" customWidth="false" hidden="false" outlineLevel="0" max="28" min="27" style="4" width="9"/>
    <col collapsed="false" customWidth="true" hidden="false" outlineLevel="0" max="29" min="29" style="1" width="10.66"/>
    <col collapsed="false" customWidth="false" hidden="false" outlineLevel="0" max="1024" min="30" style="1" width="9"/>
  </cols>
  <sheetData>
    <row r="1" s="5" customFormat="true" ht="6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7" t="s">
        <v>20</v>
      </c>
      <c r="V1" s="5" t="s">
        <v>21</v>
      </c>
      <c r="W1" s="6" t="s">
        <v>17</v>
      </c>
      <c r="X1" s="8" t="s">
        <v>22</v>
      </c>
      <c r="Y1" s="5" t="s">
        <v>23</v>
      </c>
      <c r="Z1" s="5" t="s">
        <v>24</v>
      </c>
      <c r="AA1" s="5" t="s">
        <v>25</v>
      </c>
      <c r="AB1" s="8" t="s">
        <v>26</v>
      </c>
      <c r="AC1" s="8" t="s">
        <v>27</v>
      </c>
      <c r="AD1" s="5" t="s">
        <v>28</v>
      </c>
      <c r="AE1" s="5" t="s">
        <v>29</v>
      </c>
    </row>
    <row r="2" customFormat="false" ht="13.5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33</v>
      </c>
      <c r="E2" s="1" t="n">
        <v>0</v>
      </c>
      <c r="G2" s="1" t="s">
        <v>31</v>
      </c>
      <c r="H2" s="1" t="s">
        <v>34</v>
      </c>
      <c r="O2" s="1" t="n">
        <v>1</v>
      </c>
      <c r="P2" s="1" t="n">
        <v>50</v>
      </c>
      <c r="Q2" s="1" t="n">
        <v>24.22145329</v>
      </c>
      <c r="R2" s="2"/>
      <c r="U2" s="3"/>
      <c r="V2" s="1"/>
      <c r="W2" s="2"/>
      <c r="X2" s="4"/>
      <c r="Y2" s="4"/>
      <c r="Z2" s="4"/>
      <c r="AC2" s="4"/>
      <c r="AD2" s="4"/>
    </row>
    <row r="3" customFormat="false" ht="13.5" hidden="false" customHeight="false" outlineLevel="0" collapsed="false">
      <c r="A3" s="1" t="s">
        <v>35</v>
      </c>
      <c r="B3" s="1" t="s">
        <v>31</v>
      </c>
      <c r="C3" s="1" t="s">
        <v>36</v>
      </c>
      <c r="D3" s="1" t="s">
        <v>33</v>
      </c>
      <c r="E3" s="1" t="n">
        <v>0</v>
      </c>
      <c r="G3" s="1" t="s">
        <v>31</v>
      </c>
      <c r="H3" s="1" t="s">
        <v>37</v>
      </c>
      <c r="O3" s="1" t="n">
        <v>1</v>
      </c>
      <c r="P3" s="1" t="n">
        <v>47</v>
      </c>
      <c r="Q3" s="1" t="n">
        <v>20.76124567</v>
      </c>
      <c r="R3" s="1"/>
      <c r="U3" s="3"/>
      <c r="V3" s="1"/>
      <c r="W3" s="2"/>
      <c r="X3" s="4"/>
      <c r="AA3" s="1"/>
      <c r="AC3" s="4"/>
    </row>
    <row r="4" customFormat="false" ht="13.5" hidden="false" customHeight="false" outlineLevel="0" collapsed="false">
      <c r="A4" s="1" t="s">
        <v>38</v>
      </c>
      <c r="B4" s="1" t="s">
        <v>31</v>
      </c>
      <c r="C4" s="1" t="s">
        <v>39</v>
      </c>
      <c r="D4" s="1" t="s">
        <v>33</v>
      </c>
      <c r="E4" s="1" t="n">
        <v>0</v>
      </c>
      <c r="G4" s="1" t="s">
        <v>31</v>
      </c>
      <c r="H4" s="1" t="s">
        <v>40</v>
      </c>
      <c r="O4" s="1" t="n">
        <v>1</v>
      </c>
      <c r="P4" s="1" t="n">
        <v>51</v>
      </c>
      <c r="Q4" s="1" t="n">
        <v>24.22145329</v>
      </c>
      <c r="R4" s="1"/>
      <c r="U4" s="3"/>
      <c r="V4" s="1"/>
      <c r="W4" s="2"/>
      <c r="X4" s="4"/>
      <c r="AA4" s="1"/>
      <c r="AC4" s="4"/>
    </row>
    <row r="5" customFormat="false" ht="13.5" hidden="false" customHeight="false" outlineLevel="0" collapsed="false">
      <c r="A5" s="1" t="s">
        <v>41</v>
      </c>
      <c r="B5" s="1" t="s">
        <v>31</v>
      </c>
      <c r="C5" s="1" t="s">
        <v>42</v>
      </c>
      <c r="D5" s="1" t="s">
        <v>33</v>
      </c>
      <c r="E5" s="1" t="n">
        <v>0</v>
      </c>
      <c r="G5" s="1" t="s">
        <v>31</v>
      </c>
      <c r="H5" s="1" t="s">
        <v>43</v>
      </c>
      <c r="O5" s="1" t="n">
        <v>1</v>
      </c>
      <c r="P5" s="1" t="n">
        <v>54</v>
      </c>
      <c r="Q5" s="1" t="n">
        <v>26.64359862</v>
      </c>
      <c r="R5" s="1"/>
      <c r="U5" s="3"/>
      <c r="V5" s="1"/>
      <c r="W5" s="2"/>
      <c r="X5" s="4"/>
      <c r="AA5" s="1"/>
      <c r="AC5" s="4"/>
    </row>
    <row r="6" customFormat="false" ht="13.5" hidden="false" customHeight="false" outlineLevel="0" collapsed="false">
      <c r="A6" s="1" t="s">
        <v>44</v>
      </c>
      <c r="B6" s="1" t="s">
        <v>31</v>
      </c>
      <c r="C6" s="1" t="s">
        <v>45</v>
      </c>
      <c r="D6" s="1" t="s">
        <v>33</v>
      </c>
      <c r="E6" s="1" t="n">
        <v>0</v>
      </c>
      <c r="G6" s="1" t="s">
        <v>31</v>
      </c>
      <c r="H6" s="1" t="s">
        <v>46</v>
      </c>
      <c r="O6" s="1" t="n">
        <v>1</v>
      </c>
      <c r="P6" s="1" t="n">
        <v>37</v>
      </c>
      <c r="Q6" s="1" t="n">
        <v>24.22145329</v>
      </c>
      <c r="R6" s="1"/>
      <c r="U6" s="3"/>
      <c r="V6" s="1"/>
      <c r="W6" s="2"/>
      <c r="X6" s="4"/>
      <c r="AA6" s="1"/>
      <c r="AC6" s="4"/>
    </row>
    <row r="7" customFormat="false" ht="13.5" hidden="false" customHeight="false" outlineLevel="0" collapsed="false">
      <c r="A7" s="1" t="s">
        <v>47</v>
      </c>
      <c r="B7" s="1" t="s">
        <v>31</v>
      </c>
      <c r="C7" s="1" t="s">
        <v>48</v>
      </c>
      <c r="D7" s="1" t="s">
        <v>33</v>
      </c>
      <c r="E7" s="1" t="n">
        <v>0</v>
      </c>
      <c r="G7" s="1" t="s">
        <v>31</v>
      </c>
      <c r="H7" s="1" t="s">
        <v>49</v>
      </c>
      <c r="O7" s="1" t="n">
        <v>0</v>
      </c>
      <c r="P7" s="1" t="n">
        <v>44</v>
      </c>
      <c r="Q7" s="1" t="n">
        <v>23.4375</v>
      </c>
      <c r="R7" s="1"/>
      <c r="U7" s="3"/>
      <c r="V7" s="1"/>
      <c r="W7" s="2"/>
      <c r="X7" s="4"/>
      <c r="AA7" s="1"/>
      <c r="AC7" s="4"/>
    </row>
    <row r="8" customFormat="false" ht="13.5" hidden="false" customHeight="false" outlineLevel="0" collapsed="false">
      <c r="A8" s="1" t="s">
        <v>50</v>
      </c>
      <c r="B8" s="1" t="s">
        <v>31</v>
      </c>
      <c r="C8" s="1" t="s">
        <v>51</v>
      </c>
      <c r="D8" s="1" t="s">
        <v>33</v>
      </c>
      <c r="E8" s="1" t="n">
        <v>0</v>
      </c>
      <c r="G8" s="1" t="s">
        <v>31</v>
      </c>
      <c r="H8" s="1" t="s">
        <v>52</v>
      </c>
      <c r="O8" s="1" t="n">
        <v>1</v>
      </c>
      <c r="P8" s="1" t="n">
        <v>30</v>
      </c>
      <c r="Q8" s="1" t="n">
        <v>25.95155709</v>
      </c>
      <c r="R8" s="1"/>
      <c r="U8" s="3"/>
      <c r="V8" s="1"/>
      <c r="W8" s="2"/>
      <c r="X8" s="4"/>
      <c r="AA8" s="1"/>
      <c r="AC8" s="4"/>
    </row>
    <row r="9" customFormat="false" ht="13.5" hidden="false" customHeight="false" outlineLevel="0" collapsed="false">
      <c r="A9" s="1" t="s">
        <v>53</v>
      </c>
      <c r="B9" s="1" t="s">
        <v>54</v>
      </c>
      <c r="C9" s="1" t="s">
        <v>33</v>
      </c>
      <c r="D9" s="1" t="s">
        <v>33</v>
      </c>
      <c r="E9" s="1" t="n">
        <v>0</v>
      </c>
      <c r="G9" s="1" t="s">
        <v>31</v>
      </c>
      <c r="H9" s="1" t="s">
        <v>55</v>
      </c>
      <c r="O9" s="1" t="n">
        <v>1</v>
      </c>
      <c r="P9" s="1" t="n">
        <v>29</v>
      </c>
      <c r="Q9" s="1" t="n">
        <v>26.64359862</v>
      </c>
      <c r="R9" s="1"/>
      <c r="U9" s="3"/>
      <c r="V9" s="1"/>
      <c r="W9" s="2"/>
      <c r="X9" s="4"/>
      <c r="AA9" s="1"/>
      <c r="AC9" s="4"/>
    </row>
    <row r="10" customFormat="false" ht="13.5" hidden="false" customHeight="false" outlineLevel="0" collapsed="false">
      <c r="A10" s="1" t="s">
        <v>56</v>
      </c>
      <c r="B10" s="1" t="s">
        <v>31</v>
      </c>
      <c r="C10" s="1" t="s">
        <v>57</v>
      </c>
      <c r="D10" s="1" t="s">
        <v>33</v>
      </c>
      <c r="E10" s="1" t="n">
        <v>0</v>
      </c>
      <c r="G10" s="1" t="s">
        <v>31</v>
      </c>
      <c r="H10" s="1" t="s">
        <v>58</v>
      </c>
      <c r="O10" s="1" t="n">
        <v>0</v>
      </c>
      <c r="P10" s="1" t="n">
        <v>53</v>
      </c>
      <c r="Q10" s="1" t="n">
        <v>23.046875</v>
      </c>
      <c r="R10" s="1"/>
      <c r="U10" s="3"/>
      <c r="V10" s="1"/>
      <c r="W10" s="2"/>
      <c r="X10" s="4"/>
      <c r="AA10" s="1"/>
      <c r="AC10" s="4"/>
    </row>
    <row r="11" customFormat="false" ht="13.5" hidden="false" customHeight="false" outlineLevel="0" collapsed="false">
      <c r="A11" s="1" t="s">
        <v>59</v>
      </c>
      <c r="B11" s="1" t="s">
        <v>31</v>
      </c>
      <c r="C11" s="1" t="s">
        <v>60</v>
      </c>
      <c r="D11" s="1" t="s">
        <v>33</v>
      </c>
      <c r="E11" s="1" t="n">
        <v>0</v>
      </c>
      <c r="G11" s="1" t="s">
        <v>31</v>
      </c>
      <c r="H11" s="1" t="s">
        <v>61</v>
      </c>
      <c r="O11" s="1" t="n">
        <v>1</v>
      </c>
      <c r="P11" s="1" t="n">
        <v>57</v>
      </c>
      <c r="Q11" s="1" t="n">
        <v>26.98961938</v>
      </c>
      <c r="R11" s="1"/>
      <c r="U11" s="3"/>
      <c r="V11" s="1"/>
      <c r="W11" s="2"/>
      <c r="X11" s="4"/>
      <c r="AA11" s="1"/>
      <c r="AC11" s="4"/>
    </row>
    <row r="12" customFormat="false" ht="13.5" hidden="false" customHeight="false" outlineLevel="0" collapsed="false">
      <c r="A12" s="1" t="s">
        <v>62</v>
      </c>
      <c r="B12" s="1" t="s">
        <v>54</v>
      </c>
      <c r="C12" s="1" t="s">
        <v>33</v>
      </c>
      <c r="D12" s="1" t="s">
        <v>33</v>
      </c>
      <c r="E12" s="1" t="n">
        <v>0</v>
      </c>
      <c r="G12" s="1" t="s">
        <v>31</v>
      </c>
      <c r="H12" s="1" t="s">
        <v>63</v>
      </c>
      <c r="O12" s="1" t="n">
        <v>1</v>
      </c>
      <c r="P12" s="1" t="n">
        <v>41</v>
      </c>
      <c r="Q12" s="1" t="n">
        <v>25.95155709</v>
      </c>
      <c r="R12" s="1"/>
      <c r="U12" s="3"/>
      <c r="V12" s="1"/>
      <c r="W12" s="2"/>
      <c r="X12" s="4"/>
      <c r="AA12" s="1"/>
      <c r="AC12" s="4"/>
    </row>
    <row r="13" customFormat="false" ht="13.5" hidden="false" customHeight="false" outlineLevel="0" collapsed="false">
      <c r="A13" s="1" t="s">
        <v>64</v>
      </c>
      <c r="B13" s="1" t="s">
        <v>31</v>
      </c>
      <c r="C13" s="1" t="s">
        <v>65</v>
      </c>
      <c r="D13" s="1" t="s">
        <v>33</v>
      </c>
      <c r="E13" s="1" t="n">
        <v>0</v>
      </c>
      <c r="G13" s="1" t="s">
        <v>31</v>
      </c>
      <c r="H13" s="1" t="s">
        <v>66</v>
      </c>
      <c r="O13" s="1" t="n">
        <v>1</v>
      </c>
      <c r="P13" s="1" t="n">
        <v>49</v>
      </c>
      <c r="Q13" s="1" t="n">
        <v>25.60553633</v>
      </c>
      <c r="R13" s="1"/>
      <c r="U13" s="3"/>
      <c r="V13" s="1"/>
      <c r="W13" s="2"/>
      <c r="X13" s="4"/>
      <c r="AA13" s="1"/>
      <c r="AC13" s="4"/>
    </row>
    <row r="14" customFormat="false" ht="13.5" hidden="false" customHeight="false" outlineLevel="0" collapsed="false">
      <c r="A14" s="1" t="s">
        <v>67</v>
      </c>
      <c r="B14" s="1" t="s">
        <v>31</v>
      </c>
      <c r="C14" s="1" t="s">
        <v>68</v>
      </c>
      <c r="D14" s="1" t="s">
        <v>33</v>
      </c>
      <c r="E14" s="1" t="n">
        <v>0</v>
      </c>
      <c r="G14" s="1" t="s">
        <v>31</v>
      </c>
      <c r="H14" s="1" t="s">
        <v>69</v>
      </c>
      <c r="O14" s="1" t="n">
        <v>1</v>
      </c>
      <c r="P14" s="1" t="n">
        <v>46</v>
      </c>
      <c r="Q14" s="1" t="n">
        <v>24.56747405</v>
      </c>
      <c r="R14" s="1"/>
      <c r="U14" s="3"/>
      <c r="V14" s="1"/>
      <c r="W14" s="2"/>
      <c r="X14" s="4"/>
      <c r="AA14" s="1"/>
      <c r="AC14" s="4"/>
    </row>
    <row r="15" customFormat="false" ht="13.5" hidden="false" customHeight="false" outlineLevel="0" collapsed="false">
      <c r="A15" s="1" t="s">
        <v>70</v>
      </c>
      <c r="B15" s="1" t="s">
        <v>54</v>
      </c>
      <c r="C15" s="1" t="s">
        <v>33</v>
      </c>
      <c r="D15" s="1" t="s">
        <v>33</v>
      </c>
      <c r="E15" s="1" t="n">
        <v>0</v>
      </c>
      <c r="G15" s="1" t="s">
        <v>31</v>
      </c>
      <c r="H15" s="1" t="s">
        <v>71</v>
      </c>
      <c r="O15" s="1" t="n">
        <v>1</v>
      </c>
      <c r="P15" s="1" t="n">
        <v>34</v>
      </c>
      <c r="Q15" s="1" t="n">
        <v>23.52941176</v>
      </c>
      <c r="R15" s="1"/>
      <c r="U15" s="3"/>
      <c r="V15" s="1"/>
      <c r="W15" s="2"/>
      <c r="X15" s="4"/>
      <c r="AA15" s="1"/>
      <c r="AC15" s="4"/>
    </row>
    <row r="16" customFormat="false" ht="13.5" hidden="false" customHeight="false" outlineLevel="0" collapsed="false">
      <c r="A16" s="1" t="s">
        <v>72</v>
      </c>
      <c r="B16" s="1" t="s">
        <v>54</v>
      </c>
      <c r="C16" s="1" t="s">
        <v>33</v>
      </c>
      <c r="D16" s="1" t="s">
        <v>33</v>
      </c>
      <c r="E16" s="1" t="n">
        <v>0</v>
      </c>
      <c r="G16" s="1" t="s">
        <v>31</v>
      </c>
      <c r="H16" s="1" t="s">
        <v>73</v>
      </c>
      <c r="O16" s="1" t="n">
        <v>1</v>
      </c>
      <c r="P16" s="1" t="n">
        <v>41</v>
      </c>
      <c r="Q16" s="1" t="n">
        <v>24.22145329</v>
      </c>
      <c r="R16" s="1"/>
      <c r="U16" s="3"/>
      <c r="V16" s="1"/>
      <c r="W16" s="2"/>
      <c r="X16" s="4"/>
      <c r="AA16" s="1"/>
      <c r="AC16" s="4"/>
    </row>
    <row r="17" customFormat="false" ht="13.5" hidden="false" customHeight="false" outlineLevel="0" collapsed="false">
      <c r="A17" s="1" t="s">
        <v>74</v>
      </c>
      <c r="B17" s="1" t="s">
        <v>54</v>
      </c>
      <c r="C17" s="1" t="s">
        <v>33</v>
      </c>
      <c r="D17" s="1" t="s">
        <v>33</v>
      </c>
      <c r="E17" s="1" t="n">
        <v>0</v>
      </c>
      <c r="G17" s="1" t="s">
        <v>31</v>
      </c>
      <c r="H17" s="1" t="s">
        <v>75</v>
      </c>
      <c r="O17" s="1" t="n">
        <v>1</v>
      </c>
      <c r="P17" s="1" t="n">
        <v>39</v>
      </c>
      <c r="Q17" s="1" t="n">
        <v>22.49134948</v>
      </c>
      <c r="R17" s="1"/>
      <c r="U17" s="3"/>
      <c r="V17" s="1"/>
      <c r="W17" s="2"/>
      <c r="X17" s="4"/>
      <c r="AA17" s="1"/>
      <c r="AC17" s="4"/>
    </row>
    <row r="18" customFormat="false" ht="13.5" hidden="false" customHeight="false" outlineLevel="0" collapsed="false">
      <c r="A18" s="1" t="s">
        <v>76</v>
      </c>
      <c r="B18" s="1" t="s">
        <v>31</v>
      </c>
      <c r="C18" s="1" t="s">
        <v>77</v>
      </c>
      <c r="D18" s="1" t="s">
        <v>33</v>
      </c>
      <c r="E18" s="1" t="n">
        <v>0</v>
      </c>
      <c r="G18" s="1" t="s">
        <v>31</v>
      </c>
      <c r="H18" s="1" t="s">
        <v>78</v>
      </c>
      <c r="O18" s="1" t="n">
        <v>0</v>
      </c>
      <c r="P18" s="1" t="n">
        <v>50</v>
      </c>
      <c r="Q18" s="1" t="n">
        <v>21.484375</v>
      </c>
      <c r="R18" s="1"/>
      <c r="U18" s="3"/>
      <c r="V18" s="1"/>
      <c r="W18" s="2"/>
      <c r="X18" s="4"/>
      <c r="AA18" s="1"/>
      <c r="AC18" s="4"/>
    </row>
    <row r="19" customFormat="false" ht="13.5" hidden="false" customHeight="false" outlineLevel="0" collapsed="false">
      <c r="A19" s="1" t="s">
        <v>79</v>
      </c>
      <c r="B19" s="1" t="s">
        <v>54</v>
      </c>
      <c r="C19" s="1" t="s">
        <v>33</v>
      </c>
      <c r="D19" s="1" t="s">
        <v>33</v>
      </c>
      <c r="E19" s="1" t="n">
        <v>0</v>
      </c>
      <c r="G19" s="1" t="s">
        <v>31</v>
      </c>
      <c r="H19" s="1" t="s">
        <v>80</v>
      </c>
      <c r="O19" s="1" t="n">
        <v>1</v>
      </c>
      <c r="P19" s="1" t="n">
        <v>49</v>
      </c>
      <c r="Q19" s="1" t="n">
        <v>22.49134948</v>
      </c>
      <c r="R19" s="1"/>
      <c r="U19" s="3"/>
      <c r="V19" s="1"/>
      <c r="W19" s="2"/>
      <c r="X19" s="4"/>
      <c r="AA19" s="1"/>
      <c r="AC19" s="4"/>
    </row>
    <row r="20" customFormat="false" ht="13.5" hidden="false" customHeight="false" outlineLevel="0" collapsed="false">
      <c r="A20" s="1" t="s">
        <v>81</v>
      </c>
      <c r="B20" s="1" t="s">
        <v>31</v>
      </c>
      <c r="C20" s="1" t="s">
        <v>82</v>
      </c>
      <c r="D20" s="1" t="s">
        <v>33</v>
      </c>
      <c r="E20" s="1" t="n">
        <v>0</v>
      </c>
      <c r="G20" s="1" t="s">
        <v>31</v>
      </c>
      <c r="H20" s="1" t="s">
        <v>83</v>
      </c>
      <c r="O20" s="1" t="n">
        <v>0</v>
      </c>
      <c r="P20" s="1" t="n">
        <v>52</v>
      </c>
      <c r="Q20" s="1" t="n">
        <v>23.4375</v>
      </c>
      <c r="R20" s="1"/>
      <c r="U20" s="3"/>
      <c r="V20" s="1"/>
      <c r="W20" s="2"/>
      <c r="X20" s="4"/>
      <c r="AA20" s="1"/>
      <c r="AC20" s="4"/>
    </row>
    <row r="21" customFormat="false" ht="13.5" hidden="false" customHeight="false" outlineLevel="0" collapsed="false">
      <c r="A21" s="1" t="s">
        <v>84</v>
      </c>
      <c r="B21" s="1" t="s">
        <v>31</v>
      </c>
      <c r="C21" s="1" t="s">
        <v>85</v>
      </c>
      <c r="D21" s="1" t="s">
        <v>33</v>
      </c>
      <c r="E21" s="1" t="n">
        <v>0</v>
      </c>
      <c r="G21" s="1" t="s">
        <v>31</v>
      </c>
      <c r="H21" s="1" t="s">
        <v>86</v>
      </c>
      <c r="O21" s="1" t="n">
        <v>0</v>
      </c>
      <c r="P21" s="1" t="n">
        <v>38</v>
      </c>
      <c r="Q21" s="1" t="n">
        <v>23.4375</v>
      </c>
      <c r="R21" s="1"/>
      <c r="U21" s="3"/>
      <c r="V21" s="1"/>
      <c r="W21" s="2"/>
      <c r="X21" s="4"/>
      <c r="AA21" s="1"/>
      <c r="AC21" s="4"/>
    </row>
    <row r="22" customFormat="false" ht="13.5" hidden="false" customHeight="false" outlineLevel="0" collapsed="false">
      <c r="A22" s="1" t="s">
        <v>87</v>
      </c>
      <c r="B22" s="1" t="s">
        <v>54</v>
      </c>
      <c r="C22" s="1" t="s">
        <v>33</v>
      </c>
      <c r="D22" s="1" t="s">
        <v>33</v>
      </c>
      <c r="E22" s="1" t="n">
        <v>0</v>
      </c>
      <c r="G22" s="1" t="s">
        <v>31</v>
      </c>
      <c r="H22" s="1" t="s">
        <v>88</v>
      </c>
      <c r="O22" s="1" t="n">
        <v>1</v>
      </c>
      <c r="P22" s="1" t="n">
        <v>55</v>
      </c>
      <c r="Q22" s="1" t="n">
        <v>22.49134948</v>
      </c>
      <c r="R22" s="1"/>
      <c r="U22" s="3"/>
      <c r="V22" s="1"/>
      <c r="W22" s="2"/>
      <c r="X22" s="4"/>
      <c r="AA22" s="1"/>
      <c r="AC22" s="4"/>
    </row>
    <row r="23" customFormat="false" ht="13.5" hidden="false" customHeight="false" outlineLevel="0" collapsed="false">
      <c r="A23" s="1" t="s">
        <v>89</v>
      </c>
      <c r="B23" s="1" t="s">
        <v>31</v>
      </c>
      <c r="C23" s="1" t="s">
        <v>90</v>
      </c>
      <c r="D23" s="1" t="s">
        <v>91</v>
      </c>
      <c r="E23" s="1" t="n">
        <v>0</v>
      </c>
      <c r="G23" s="1" t="s">
        <v>31</v>
      </c>
      <c r="H23" s="1" t="s">
        <v>92</v>
      </c>
      <c r="O23" s="1" t="n">
        <v>1</v>
      </c>
      <c r="P23" s="1" t="n">
        <v>51</v>
      </c>
      <c r="Q23" s="1" t="n">
        <v>26.98961938</v>
      </c>
      <c r="R23" s="1"/>
      <c r="U23" s="3"/>
      <c r="V23" s="1"/>
      <c r="W23" s="2"/>
      <c r="X23" s="4"/>
      <c r="AA23" s="1"/>
      <c r="AC23" s="4"/>
    </row>
    <row r="24" customFormat="false" ht="13.5" hidden="false" customHeight="false" outlineLevel="0" collapsed="false">
      <c r="A24" s="1" t="s">
        <v>93</v>
      </c>
      <c r="B24" s="1" t="s">
        <v>31</v>
      </c>
      <c r="C24" s="1" t="s">
        <v>94</v>
      </c>
      <c r="D24" s="1" t="s">
        <v>33</v>
      </c>
      <c r="E24" s="1" t="n">
        <v>0</v>
      </c>
      <c r="G24" s="1" t="s">
        <v>31</v>
      </c>
      <c r="H24" s="1" t="s">
        <v>95</v>
      </c>
      <c r="O24" s="1" t="n">
        <v>1</v>
      </c>
      <c r="P24" s="1" t="n">
        <v>43</v>
      </c>
      <c r="Q24" s="1" t="n">
        <v>22.49134948</v>
      </c>
      <c r="R24" s="1"/>
      <c r="U24" s="3"/>
      <c r="V24" s="1"/>
      <c r="W24" s="2"/>
      <c r="X24" s="4"/>
      <c r="AA24" s="1"/>
      <c r="AC24" s="4"/>
    </row>
    <row r="25" customFormat="false" ht="13.5" hidden="false" customHeight="false" outlineLevel="0" collapsed="false">
      <c r="A25" s="1" t="s">
        <v>96</v>
      </c>
      <c r="B25" s="1" t="s">
        <v>31</v>
      </c>
      <c r="C25" s="1" t="s">
        <v>97</v>
      </c>
      <c r="D25" s="1" t="s">
        <v>33</v>
      </c>
      <c r="E25" s="1" t="n">
        <v>0</v>
      </c>
      <c r="G25" s="1" t="s">
        <v>31</v>
      </c>
      <c r="H25" s="1" t="s">
        <v>98</v>
      </c>
      <c r="O25" s="1" t="n">
        <v>0</v>
      </c>
      <c r="P25" s="1" t="n">
        <v>38</v>
      </c>
      <c r="Q25" s="1" t="n">
        <v>19.921875</v>
      </c>
      <c r="R25" s="1"/>
      <c r="U25" s="3"/>
      <c r="V25" s="1"/>
      <c r="W25" s="2"/>
      <c r="X25" s="4"/>
      <c r="AA25" s="1"/>
      <c r="AC25" s="4"/>
    </row>
    <row r="26" customFormat="false" ht="13.5" hidden="false" customHeight="false" outlineLevel="0" collapsed="false">
      <c r="A26" s="1" t="s">
        <v>99</v>
      </c>
      <c r="B26" s="1" t="s">
        <v>31</v>
      </c>
      <c r="C26" s="1" t="s">
        <v>100</v>
      </c>
      <c r="D26" s="1" t="s">
        <v>33</v>
      </c>
      <c r="E26" s="1" t="n">
        <v>0</v>
      </c>
      <c r="G26" s="1" t="s">
        <v>31</v>
      </c>
      <c r="H26" s="1" t="s">
        <v>101</v>
      </c>
      <c r="O26" s="1" t="n">
        <v>0</v>
      </c>
      <c r="P26" s="1" t="n">
        <v>44</v>
      </c>
      <c r="Q26" s="1" t="n">
        <v>20.703125</v>
      </c>
      <c r="R26" s="1"/>
      <c r="U26" s="3"/>
      <c r="V26" s="1"/>
      <c r="W26" s="2"/>
      <c r="X26" s="4"/>
      <c r="AA26" s="1"/>
      <c r="AC26" s="4"/>
    </row>
    <row r="27" customFormat="false" ht="13.5" hidden="false" customHeight="false" outlineLevel="0" collapsed="false">
      <c r="A27" s="1" t="s">
        <v>102</v>
      </c>
      <c r="B27" s="1" t="s">
        <v>31</v>
      </c>
      <c r="C27" s="1" t="s">
        <v>103</v>
      </c>
      <c r="D27" s="1" t="s">
        <v>33</v>
      </c>
      <c r="E27" s="1" t="n">
        <v>0</v>
      </c>
      <c r="G27" s="1" t="s">
        <v>54</v>
      </c>
      <c r="H27" s="1" t="s">
        <v>33</v>
      </c>
      <c r="O27" s="1" t="n">
        <v>1</v>
      </c>
      <c r="P27" s="1" t="n">
        <v>28</v>
      </c>
      <c r="Q27" s="1" t="n">
        <v>27.6816609</v>
      </c>
      <c r="R27" s="1"/>
      <c r="U27" s="3"/>
      <c r="V27" s="1"/>
      <c r="W27" s="2"/>
      <c r="X27" s="4"/>
      <c r="AA27" s="1"/>
      <c r="AC27" s="4"/>
    </row>
    <row r="28" customFormat="false" ht="13.5" hidden="false" customHeight="false" outlineLevel="0" collapsed="false">
      <c r="A28" s="1" t="s">
        <v>104</v>
      </c>
      <c r="B28" s="1" t="s">
        <v>31</v>
      </c>
      <c r="C28" s="1" t="s">
        <v>105</v>
      </c>
      <c r="D28" s="1" t="s">
        <v>33</v>
      </c>
      <c r="E28" s="1" t="n">
        <v>0</v>
      </c>
      <c r="G28" s="1" t="s">
        <v>54</v>
      </c>
      <c r="H28" s="1" t="s">
        <v>33</v>
      </c>
      <c r="O28" s="1" t="n">
        <v>1</v>
      </c>
      <c r="P28" s="1" t="n">
        <v>38</v>
      </c>
      <c r="Q28" s="1" t="n">
        <v>32.87197232</v>
      </c>
      <c r="R28" s="1"/>
      <c r="U28" s="3"/>
      <c r="V28" s="1"/>
      <c r="W28" s="2"/>
      <c r="X28" s="4"/>
      <c r="AA28" s="1"/>
      <c r="AC28" s="4"/>
    </row>
    <row r="29" customFormat="false" ht="13.5" hidden="false" customHeight="false" outlineLevel="0" collapsed="false">
      <c r="A29" s="1" t="s">
        <v>106</v>
      </c>
      <c r="B29" s="1" t="s">
        <v>31</v>
      </c>
      <c r="C29" s="1" t="s">
        <v>107</v>
      </c>
      <c r="D29" s="1" t="s">
        <v>33</v>
      </c>
      <c r="E29" s="1" t="n">
        <v>0</v>
      </c>
      <c r="G29" s="1" t="s">
        <v>54</v>
      </c>
      <c r="H29" s="1" t="s">
        <v>33</v>
      </c>
      <c r="O29" s="1" t="n">
        <v>1</v>
      </c>
      <c r="P29" s="1" t="n">
        <v>54</v>
      </c>
      <c r="Q29" s="1" t="n">
        <v>27.6816609</v>
      </c>
    </row>
    <row r="31" customFormat="false" ht="13.5" hidden="false" customHeight="false" outlineLevel="0" collapsed="false">
      <c r="P31" s="1" t="n">
        <f aca="false">AVERAGE(P2:P29)</f>
        <v>44.3571428571429</v>
      </c>
      <c r="Q31" s="1" t="n">
        <f aca="false">AVERAGE(Q2:Q29)</f>
        <v>24.4353026139286</v>
      </c>
    </row>
    <row r="32" customFormat="false" ht="13.5" hidden="false" customHeight="false" outlineLevel="0" collapsed="false">
      <c r="P32" s="1" t="n">
        <f aca="false">MEDIAN(P2:P29)</f>
        <v>45</v>
      </c>
      <c r="Q32" s="1" t="n">
        <f aca="false">MEDIAN(Q2:Q29)</f>
        <v>24.22145329</v>
      </c>
    </row>
    <row r="33" customFormat="false" ht="13.5" hidden="false" customHeight="false" outlineLevel="0" collapsed="false">
      <c r="C33" s="9"/>
      <c r="P33" s="1" t="n">
        <f aca="false">MIN(P2:P29)</f>
        <v>28</v>
      </c>
      <c r="Q33" s="1" t="n">
        <f aca="false">MIN(Q2:Q29)</f>
        <v>19.921875</v>
      </c>
    </row>
    <row r="34" customFormat="false" ht="13.5" hidden="false" customHeight="false" outlineLevel="0" collapsed="false">
      <c r="P34" s="1" t="n">
        <f aca="false">MAX(P2:P29)</f>
        <v>57</v>
      </c>
      <c r="Q34" s="1" t="n">
        <f aca="false">MAX(Q2:Q29)</f>
        <v>32.87197232</v>
      </c>
    </row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P28" activeCellId="2" sqref="X:AE S:V P28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2.66"/>
    <col collapsed="false" customWidth="true" hidden="false" outlineLevel="0" max="3" min="3" style="1" width="15.83"/>
    <col collapsed="false" customWidth="true" hidden="false" outlineLevel="0" max="4" min="4" style="1" width="11.83"/>
    <col collapsed="false" customWidth="true" hidden="false" outlineLevel="0" max="5" min="5" style="1" width="9.83"/>
    <col collapsed="false" customWidth="true" hidden="false" outlineLevel="0" max="6" min="6" style="1" width="15.83"/>
    <col collapsed="false" customWidth="true" hidden="false" outlineLevel="0" max="7" min="7" style="1" width="14.66"/>
    <col collapsed="false" customWidth="true" hidden="false" outlineLevel="0" max="8" min="8" style="1" width="15.83"/>
    <col collapsed="false" customWidth="true" hidden="false" outlineLevel="0" max="9" min="9" style="2" width="11.66"/>
    <col collapsed="false" customWidth="true" hidden="false" outlineLevel="0" max="10" min="10" style="2" width="15.83"/>
    <col collapsed="false" customWidth="true" hidden="false" outlineLevel="0" max="11" min="11" style="2" width="14"/>
    <col collapsed="false" customWidth="true" hidden="false" outlineLevel="0" max="13" min="12" style="2" width="9.83"/>
    <col collapsed="false" customWidth="true" hidden="false" outlineLevel="0" max="14" min="14" style="2" width="11.66"/>
    <col collapsed="false" customWidth="false" hidden="false" outlineLevel="0" max="16" min="15" style="1" width="9"/>
    <col collapsed="false" customWidth="true" hidden="false" outlineLevel="0" max="17" min="17" style="1" width="11.33"/>
    <col collapsed="false" customWidth="false" hidden="false" outlineLevel="0" max="18" min="18" style="3" width="9"/>
    <col collapsed="false" customWidth="true" hidden="false" outlineLevel="0" max="19" min="19" style="3" width="12"/>
    <col collapsed="false" customWidth="true" hidden="false" outlineLevel="0" max="20" min="20" style="3" width="10.17"/>
    <col collapsed="false" customWidth="false" hidden="false" outlineLevel="0" max="21" min="21" style="1" width="9"/>
    <col collapsed="false" customWidth="true" hidden="false" outlineLevel="0" max="22" min="22" style="2" width="9.51"/>
    <col collapsed="false" customWidth="false" hidden="false" outlineLevel="0" max="23" min="23" style="4" width="9"/>
    <col collapsed="false" customWidth="false" hidden="false" outlineLevel="0" max="26" min="24" style="1" width="9"/>
    <col collapsed="false" customWidth="false" hidden="false" outlineLevel="0" max="28" min="27" style="4" width="9"/>
    <col collapsed="false" customWidth="true" hidden="false" outlineLevel="0" max="29" min="29" style="1" width="10.66"/>
    <col collapsed="false" customWidth="false" hidden="false" outlineLevel="0" max="1024" min="30" style="1" width="9"/>
  </cols>
  <sheetData>
    <row r="1" s="5" customFormat="true" ht="6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7" t="s">
        <v>20</v>
      </c>
      <c r="V1" s="5" t="s">
        <v>21</v>
      </c>
      <c r="W1" s="6" t="s">
        <v>17</v>
      </c>
      <c r="X1" s="8" t="s">
        <v>22</v>
      </c>
      <c r="Y1" s="5" t="s">
        <v>23</v>
      </c>
      <c r="Z1" s="5" t="s">
        <v>24</v>
      </c>
      <c r="AA1" s="5" t="s">
        <v>25</v>
      </c>
      <c r="AB1" s="8" t="s">
        <v>26</v>
      </c>
      <c r="AC1" s="8" t="s">
        <v>27</v>
      </c>
      <c r="AD1" s="5" t="s">
        <v>28</v>
      </c>
      <c r="AE1" s="5" t="s">
        <v>29</v>
      </c>
    </row>
    <row r="2" customFormat="false" ht="13.5" hidden="false" customHeight="false" outlineLevel="0" collapsed="false">
      <c r="A2" s="1" t="s">
        <v>108</v>
      </c>
      <c r="B2" s="1" t="s">
        <v>31</v>
      </c>
      <c r="C2" s="1" t="s">
        <v>109</v>
      </c>
      <c r="D2" s="1" t="s">
        <v>33</v>
      </c>
      <c r="E2" s="1" t="n">
        <v>1</v>
      </c>
      <c r="G2" s="1" t="s">
        <v>31</v>
      </c>
      <c r="H2" s="1" t="s">
        <v>110</v>
      </c>
      <c r="J2" s="2" t="n">
        <v>43852</v>
      </c>
      <c r="O2" s="1" t="n">
        <v>1</v>
      </c>
      <c r="P2" s="1" t="n">
        <v>61</v>
      </c>
      <c r="Q2" s="1" t="n">
        <v>20.76124567</v>
      </c>
      <c r="R2" s="2" t="n">
        <v>43852</v>
      </c>
      <c r="S2" s="3" t="n">
        <v>12.2</v>
      </c>
      <c r="T2" s="3" t="n">
        <v>0.8</v>
      </c>
      <c r="U2" s="3" t="n">
        <v>0.7</v>
      </c>
      <c r="V2" s="3" t="n">
        <v>116</v>
      </c>
      <c r="W2" s="2" t="n">
        <v>43853</v>
      </c>
      <c r="X2" s="3" t="n">
        <v>22.3</v>
      </c>
      <c r="Y2" s="3" t="n">
        <v>52</v>
      </c>
      <c r="Z2" s="3" t="n">
        <v>172</v>
      </c>
      <c r="AA2" s="3" t="n">
        <v>15</v>
      </c>
      <c r="AB2" s="3" t="n">
        <v>14.9</v>
      </c>
      <c r="AC2" s="3" t="n">
        <v>6</v>
      </c>
      <c r="AD2" s="3" t="n">
        <v>67</v>
      </c>
      <c r="AE2" s="10" t="n">
        <v>5.66</v>
      </c>
    </row>
    <row r="3" customFormat="false" ht="13.5" hidden="false" customHeight="false" outlineLevel="0" collapsed="false">
      <c r="A3" s="1" t="s">
        <v>111</v>
      </c>
      <c r="B3" s="1" t="s">
        <v>31</v>
      </c>
      <c r="C3" s="1" t="s">
        <v>112</v>
      </c>
      <c r="D3" s="1" t="s">
        <v>33</v>
      </c>
      <c r="E3" s="1" t="n">
        <v>1</v>
      </c>
      <c r="G3" s="1" t="s">
        <v>31</v>
      </c>
      <c r="H3" s="1" t="s">
        <v>113</v>
      </c>
      <c r="J3" s="2" t="n">
        <v>43867</v>
      </c>
      <c r="O3" s="1" t="n">
        <v>1</v>
      </c>
      <c r="P3" s="1" t="n">
        <v>57</v>
      </c>
      <c r="Q3" s="1" t="n">
        <v>24.74093729</v>
      </c>
      <c r="R3" s="2" t="n">
        <v>43868</v>
      </c>
      <c r="S3" s="3" t="n">
        <v>6.6</v>
      </c>
      <c r="T3" s="3" t="n">
        <v>1.9</v>
      </c>
      <c r="U3" s="3" t="n">
        <v>0.6</v>
      </c>
      <c r="V3" s="3" t="n">
        <v>166</v>
      </c>
      <c r="W3" s="2" t="n">
        <v>43868</v>
      </c>
      <c r="X3" s="3" t="s">
        <v>33</v>
      </c>
      <c r="Y3" s="3" t="n">
        <v>824</v>
      </c>
      <c r="Z3" s="3" t="n">
        <v>743</v>
      </c>
      <c r="AA3" s="3" t="n">
        <v>148</v>
      </c>
      <c r="AB3" s="3" t="n">
        <v>403.4</v>
      </c>
      <c r="AC3" s="3" t="n">
        <v>254.4</v>
      </c>
      <c r="AD3" s="3" t="n">
        <v>87</v>
      </c>
      <c r="AE3" s="10" t="n">
        <v>3.65</v>
      </c>
    </row>
    <row r="4" customFormat="false" ht="13.5" hidden="false" customHeight="false" outlineLevel="0" collapsed="false">
      <c r="A4" s="1" t="s">
        <v>114</v>
      </c>
      <c r="B4" s="1" t="s">
        <v>31</v>
      </c>
      <c r="C4" s="1" t="s">
        <v>115</v>
      </c>
      <c r="D4" s="1" t="s">
        <v>33</v>
      </c>
      <c r="E4" s="1" t="n">
        <v>1</v>
      </c>
      <c r="G4" s="1" t="s">
        <v>31</v>
      </c>
      <c r="H4" s="1" t="s">
        <v>116</v>
      </c>
      <c r="J4" s="2" t="n">
        <v>43855</v>
      </c>
      <c r="O4" s="1" t="n">
        <v>1</v>
      </c>
      <c r="P4" s="1" t="n">
        <v>53</v>
      </c>
      <c r="Q4" s="1" t="s">
        <v>33</v>
      </c>
      <c r="R4" s="2" t="n">
        <v>43855</v>
      </c>
      <c r="S4" s="3" t="n">
        <v>13.5</v>
      </c>
      <c r="T4" s="3" t="n">
        <v>0.9</v>
      </c>
      <c r="U4" s="3" t="n">
        <v>0.3</v>
      </c>
      <c r="V4" s="3" t="n">
        <v>332</v>
      </c>
      <c r="W4" s="2" t="n">
        <v>43855</v>
      </c>
      <c r="X4" s="3" t="n">
        <v>10.9</v>
      </c>
      <c r="Y4" s="3" t="n">
        <v>9</v>
      </c>
      <c r="Z4" s="3" t="n">
        <v>18</v>
      </c>
      <c r="AA4" s="3" t="n">
        <v>9</v>
      </c>
      <c r="AB4" s="3" t="n">
        <v>16</v>
      </c>
      <c r="AC4" s="3" t="n">
        <v>2.2</v>
      </c>
      <c r="AD4" s="3" t="n">
        <v>4</v>
      </c>
      <c r="AE4" s="10" t="n">
        <v>6.85</v>
      </c>
    </row>
    <row r="5" customFormat="false" ht="13.5" hidden="false" customHeight="false" outlineLevel="0" collapsed="false">
      <c r="A5" s="1" t="s">
        <v>117</v>
      </c>
      <c r="B5" s="1" t="s">
        <v>31</v>
      </c>
      <c r="C5" s="1" t="s">
        <v>118</v>
      </c>
      <c r="D5" s="1" t="s">
        <v>33</v>
      </c>
      <c r="E5" s="1" t="n">
        <v>1</v>
      </c>
      <c r="G5" s="1" t="s">
        <v>31</v>
      </c>
      <c r="H5" s="1" t="s">
        <v>119</v>
      </c>
      <c r="J5" s="2" t="n">
        <v>43864</v>
      </c>
      <c r="O5" s="1" t="n">
        <v>1</v>
      </c>
      <c r="P5" s="1" t="n">
        <v>65</v>
      </c>
      <c r="Q5" s="1" t="n">
        <v>26.98961938</v>
      </c>
      <c r="R5" s="2" t="n">
        <v>43865</v>
      </c>
      <c r="S5" s="3" t="n">
        <v>6.8</v>
      </c>
      <c r="T5" s="3" t="n">
        <v>3</v>
      </c>
      <c r="U5" s="3" t="n">
        <v>0.5</v>
      </c>
      <c r="V5" s="3" t="n">
        <v>171</v>
      </c>
      <c r="W5" s="2" t="n">
        <v>43865</v>
      </c>
      <c r="X5" s="4" t="s">
        <v>33</v>
      </c>
      <c r="Y5" s="4" t="n">
        <v>73</v>
      </c>
      <c r="Z5" s="4" t="n">
        <v>58</v>
      </c>
      <c r="AA5" s="4" t="n">
        <v>264</v>
      </c>
      <c r="AB5" s="4" t="n">
        <v>26.4</v>
      </c>
      <c r="AC5" s="4" t="n">
        <v>10.4</v>
      </c>
      <c r="AD5" s="4" t="n">
        <v>58</v>
      </c>
      <c r="AE5" s="10" t="n">
        <v>4.25</v>
      </c>
    </row>
    <row r="6" customFormat="false" ht="13.5" hidden="false" customHeight="false" outlineLevel="0" collapsed="false">
      <c r="A6" s="1" t="s">
        <v>120</v>
      </c>
      <c r="B6" s="1" t="s">
        <v>31</v>
      </c>
      <c r="C6" s="1" t="s">
        <v>121</v>
      </c>
      <c r="D6" s="1" t="s">
        <v>33</v>
      </c>
      <c r="E6" s="1" t="n">
        <v>1</v>
      </c>
      <c r="G6" s="1" t="s">
        <v>31</v>
      </c>
      <c r="H6" s="1" t="s">
        <v>122</v>
      </c>
      <c r="J6" s="2" t="n">
        <v>43863</v>
      </c>
      <c r="O6" s="1" t="n">
        <v>1</v>
      </c>
      <c r="P6" s="1" t="n">
        <v>60</v>
      </c>
      <c r="Q6" s="1" t="n">
        <v>20.76124567</v>
      </c>
      <c r="R6" s="2" t="n">
        <v>43863</v>
      </c>
      <c r="S6" s="3" t="n">
        <v>5.6</v>
      </c>
      <c r="T6" s="3" t="n">
        <v>0.5</v>
      </c>
      <c r="U6" s="3" t="n">
        <v>0.2</v>
      </c>
      <c r="V6" s="3" t="n">
        <v>80</v>
      </c>
      <c r="W6" s="2" t="n">
        <v>43863</v>
      </c>
      <c r="X6" s="4" t="n">
        <v>10.3</v>
      </c>
      <c r="Y6" s="4" t="n">
        <v>30</v>
      </c>
      <c r="Z6" s="4" t="n">
        <v>35</v>
      </c>
      <c r="AA6" s="4" t="n">
        <v>27</v>
      </c>
      <c r="AB6" s="4" t="n">
        <v>10.8</v>
      </c>
      <c r="AC6" s="4" t="n">
        <v>4.9</v>
      </c>
      <c r="AD6" s="4" t="n">
        <v>65</v>
      </c>
      <c r="AE6" s="10" t="n">
        <v>5.58</v>
      </c>
    </row>
    <row r="7" customFormat="false" ht="13.5" hidden="false" customHeight="false" outlineLevel="0" collapsed="false">
      <c r="A7" s="1" t="s">
        <v>123</v>
      </c>
      <c r="B7" s="1" t="s">
        <v>31</v>
      </c>
      <c r="C7" s="1" t="s">
        <v>124</v>
      </c>
      <c r="D7" s="1" t="s">
        <v>33</v>
      </c>
      <c r="E7" s="1" t="n">
        <v>1</v>
      </c>
      <c r="G7" s="1" t="s">
        <v>31</v>
      </c>
      <c r="H7" s="1" t="s">
        <v>125</v>
      </c>
      <c r="J7" s="2" t="n">
        <v>43865</v>
      </c>
      <c r="O7" s="1" t="n">
        <v>1</v>
      </c>
      <c r="P7" s="1" t="n">
        <v>61</v>
      </c>
      <c r="Q7" s="1" t="n">
        <v>27.04164413</v>
      </c>
      <c r="R7" s="2" t="n">
        <v>43866</v>
      </c>
      <c r="S7" s="3" t="n">
        <v>6.5</v>
      </c>
      <c r="T7" s="3" t="n">
        <v>0.6</v>
      </c>
      <c r="U7" s="3" t="n">
        <v>0.4</v>
      </c>
      <c r="V7" s="3" t="n">
        <v>37</v>
      </c>
      <c r="W7" s="2" t="n">
        <v>43866</v>
      </c>
      <c r="X7" s="4" t="n">
        <v>49</v>
      </c>
      <c r="Y7" s="4" t="n">
        <v>54</v>
      </c>
      <c r="Z7" s="4" t="n">
        <v>66</v>
      </c>
      <c r="AA7" s="4" t="n">
        <v>57</v>
      </c>
      <c r="AB7" s="4" t="n">
        <v>146.9</v>
      </c>
      <c r="AC7" s="4" t="n">
        <v>78.5</v>
      </c>
      <c r="AD7" s="4" t="n">
        <v>82</v>
      </c>
      <c r="AE7" s="10" t="n">
        <v>5.87</v>
      </c>
    </row>
    <row r="8" customFormat="false" ht="13.5" hidden="false" customHeight="false" outlineLevel="0" collapsed="false">
      <c r="A8" s="1" t="s">
        <v>126</v>
      </c>
      <c r="B8" s="1" t="s">
        <v>31</v>
      </c>
      <c r="C8" s="1" t="s">
        <v>127</v>
      </c>
      <c r="D8" s="1" t="s">
        <v>33</v>
      </c>
      <c r="E8" s="1" t="n">
        <v>1</v>
      </c>
      <c r="G8" s="1" t="s">
        <v>31</v>
      </c>
      <c r="H8" s="1" t="s">
        <v>128</v>
      </c>
      <c r="J8" s="2" t="n">
        <v>43864</v>
      </c>
      <c r="O8" s="1" t="n">
        <v>1</v>
      </c>
      <c r="P8" s="1" t="n">
        <v>48</v>
      </c>
      <c r="Q8" s="1" t="n">
        <v>26.12244898</v>
      </c>
      <c r="R8" s="2" t="n">
        <v>43865</v>
      </c>
      <c r="S8" s="3" t="n">
        <v>9.6</v>
      </c>
      <c r="T8" s="3" t="n">
        <v>0.9</v>
      </c>
      <c r="U8" s="3" t="n">
        <v>0.8</v>
      </c>
      <c r="V8" s="3" t="n">
        <v>123</v>
      </c>
      <c r="W8" s="2" t="n">
        <v>43865</v>
      </c>
      <c r="X8" s="4" t="n">
        <v>103.9</v>
      </c>
      <c r="Y8" s="4" t="n">
        <v>97</v>
      </c>
      <c r="Z8" s="4" t="n">
        <v>85</v>
      </c>
      <c r="AA8" s="4" t="n">
        <v>57</v>
      </c>
      <c r="AB8" s="4" t="n">
        <v>12.8</v>
      </c>
      <c r="AC8" s="4" t="n">
        <v>5.3</v>
      </c>
      <c r="AD8" s="4" t="n">
        <v>79</v>
      </c>
      <c r="AE8" s="10" t="n">
        <v>6.27</v>
      </c>
    </row>
    <row r="9" customFormat="false" ht="13.5" hidden="false" customHeight="false" outlineLevel="0" collapsed="false">
      <c r="A9" s="1" t="s">
        <v>129</v>
      </c>
      <c r="B9" s="1" t="s">
        <v>31</v>
      </c>
      <c r="C9" s="1" t="s">
        <v>130</v>
      </c>
      <c r="D9" s="1" t="s">
        <v>33</v>
      </c>
      <c r="E9" s="1" t="n">
        <v>1</v>
      </c>
      <c r="G9" s="1" t="s">
        <v>31</v>
      </c>
      <c r="H9" s="1" t="s">
        <v>131</v>
      </c>
      <c r="J9" s="2" t="n">
        <v>43867</v>
      </c>
      <c r="O9" s="1" t="n">
        <v>0</v>
      </c>
      <c r="P9" s="1" t="n">
        <v>55</v>
      </c>
      <c r="Q9" s="1" t="n">
        <v>21.22788762</v>
      </c>
      <c r="R9" s="2" t="n">
        <v>43868</v>
      </c>
      <c r="S9" s="3" t="n">
        <v>7.1</v>
      </c>
      <c r="T9" s="3" t="n">
        <v>1.6</v>
      </c>
      <c r="U9" s="3" t="n">
        <v>0.6</v>
      </c>
      <c r="V9" s="3" t="n">
        <v>225</v>
      </c>
      <c r="W9" s="2" t="n">
        <v>43868</v>
      </c>
      <c r="X9" s="4" t="n">
        <v>2.1</v>
      </c>
      <c r="Y9" s="4" t="n">
        <v>10</v>
      </c>
      <c r="Z9" s="4" t="n">
        <v>19</v>
      </c>
      <c r="AA9" s="4" t="n">
        <v>17</v>
      </c>
      <c r="AB9" s="4" t="n">
        <v>22.8</v>
      </c>
      <c r="AC9" s="4" t="n">
        <v>4.7</v>
      </c>
      <c r="AD9" s="4" t="n">
        <v>68</v>
      </c>
      <c r="AE9" s="10" t="n">
        <v>5.46</v>
      </c>
    </row>
    <row r="10" customFormat="false" ht="13.5" hidden="false" customHeight="false" outlineLevel="0" collapsed="false">
      <c r="A10" s="1" t="s">
        <v>132</v>
      </c>
      <c r="B10" s="1" t="s">
        <v>31</v>
      </c>
      <c r="C10" s="1" t="s">
        <v>133</v>
      </c>
      <c r="D10" s="1" t="s">
        <v>134</v>
      </c>
      <c r="E10" s="1" t="n">
        <v>1</v>
      </c>
      <c r="G10" s="1" t="s">
        <v>31</v>
      </c>
      <c r="H10" s="1" t="s">
        <v>135</v>
      </c>
      <c r="J10" s="2" t="n">
        <v>43867</v>
      </c>
      <c r="O10" s="1" t="n">
        <v>1</v>
      </c>
      <c r="P10" s="1" t="n">
        <v>56</v>
      </c>
      <c r="Q10" s="1" t="s">
        <v>33</v>
      </c>
      <c r="R10" s="2" t="n">
        <v>43868</v>
      </c>
      <c r="S10" s="3" t="n">
        <v>5.5</v>
      </c>
      <c r="T10" s="3" t="n">
        <v>0.6</v>
      </c>
      <c r="U10" s="3" t="n">
        <v>0.8</v>
      </c>
      <c r="V10" s="3" t="n">
        <v>214</v>
      </c>
      <c r="W10" s="2" t="n">
        <v>43867</v>
      </c>
      <c r="X10" s="4" t="n">
        <v>24.3</v>
      </c>
      <c r="Y10" s="4" t="n">
        <v>12</v>
      </c>
      <c r="Z10" s="4" t="n">
        <v>25</v>
      </c>
      <c r="AA10" s="4" t="n">
        <v>28</v>
      </c>
      <c r="AB10" s="4" t="n">
        <v>11.4</v>
      </c>
      <c r="AC10" s="4" t="n">
        <v>3.9</v>
      </c>
      <c r="AD10" s="4" t="n">
        <v>95</v>
      </c>
      <c r="AE10" s="10" t="n">
        <v>5.69</v>
      </c>
    </row>
    <row r="11" customFormat="false" ht="13.5" hidden="false" customHeight="false" outlineLevel="0" collapsed="false">
      <c r="A11" s="1" t="s">
        <v>136</v>
      </c>
      <c r="B11" s="1" t="s">
        <v>31</v>
      </c>
      <c r="C11" s="1" t="s">
        <v>137</v>
      </c>
      <c r="D11" s="1" t="s">
        <v>33</v>
      </c>
      <c r="E11" s="1" t="n">
        <v>1</v>
      </c>
      <c r="G11" s="1" t="s">
        <v>31</v>
      </c>
      <c r="H11" s="1" t="s">
        <v>138</v>
      </c>
      <c r="J11" s="2" t="n">
        <v>43863</v>
      </c>
      <c r="O11" s="1" t="n">
        <v>1</v>
      </c>
      <c r="P11" s="1" t="n">
        <v>61</v>
      </c>
      <c r="Q11" s="1" t="n">
        <v>24.69135802</v>
      </c>
      <c r="R11" s="2" t="n">
        <v>43863</v>
      </c>
      <c r="S11" s="3" t="n">
        <v>7.6</v>
      </c>
      <c r="T11" s="3" t="n">
        <v>2.3</v>
      </c>
      <c r="U11" s="3" t="n">
        <v>0.6</v>
      </c>
      <c r="V11" s="3" t="n">
        <v>173</v>
      </c>
      <c r="W11" s="2" t="n">
        <v>43863</v>
      </c>
      <c r="X11" s="4" t="n">
        <v>1</v>
      </c>
      <c r="Y11" s="4" t="n">
        <v>30</v>
      </c>
      <c r="Z11" s="4" t="n">
        <v>35</v>
      </c>
      <c r="AA11" s="4" t="n">
        <v>175</v>
      </c>
      <c r="AB11" s="4" t="n">
        <v>22</v>
      </c>
      <c r="AC11" s="4" t="n">
        <v>5.3</v>
      </c>
      <c r="AD11" s="4" t="n">
        <v>114</v>
      </c>
      <c r="AE11" s="10" t="n">
        <v>5.61</v>
      </c>
    </row>
    <row r="12" customFormat="false" ht="13.5" hidden="false" customHeight="false" outlineLevel="0" collapsed="false">
      <c r="A12" s="1" t="s">
        <v>139</v>
      </c>
      <c r="B12" s="1" t="s">
        <v>31</v>
      </c>
      <c r="C12" s="1" t="s">
        <v>140</v>
      </c>
      <c r="D12" s="1" t="s">
        <v>33</v>
      </c>
      <c r="E12" s="1" t="n">
        <v>1</v>
      </c>
      <c r="G12" s="1" t="s">
        <v>31</v>
      </c>
      <c r="H12" s="1" t="s">
        <v>141</v>
      </c>
      <c r="J12" s="2" t="n">
        <v>43875</v>
      </c>
      <c r="O12" s="1" t="n">
        <v>1</v>
      </c>
      <c r="P12" s="1" t="n">
        <v>64</v>
      </c>
      <c r="Q12" s="1" t="n">
        <v>19.59183673</v>
      </c>
      <c r="R12" s="2" t="n">
        <v>43876</v>
      </c>
      <c r="S12" s="3" t="n">
        <v>5.5</v>
      </c>
      <c r="T12" s="3" t="n">
        <v>0.2</v>
      </c>
      <c r="U12" s="3" t="n">
        <v>0.1</v>
      </c>
      <c r="V12" s="3" t="n">
        <v>201</v>
      </c>
      <c r="W12" s="2" t="n">
        <v>43876</v>
      </c>
      <c r="X12" s="4" t="n">
        <v>299.7</v>
      </c>
      <c r="Y12" s="4" t="n">
        <v>98</v>
      </c>
      <c r="Z12" s="4" t="n">
        <v>211</v>
      </c>
      <c r="AA12" s="4" t="n">
        <v>29</v>
      </c>
      <c r="AB12" s="4" t="n">
        <v>20.8</v>
      </c>
      <c r="AC12" s="4" t="n">
        <v>11.3</v>
      </c>
      <c r="AD12" s="4" t="n">
        <v>170</v>
      </c>
      <c r="AE12" s="10" t="n">
        <v>5</v>
      </c>
    </row>
    <row r="13" customFormat="false" ht="13.5" hidden="false" customHeight="false" outlineLevel="0" collapsed="false">
      <c r="A13" s="1" t="s">
        <v>142</v>
      </c>
      <c r="B13" s="1" t="s">
        <v>31</v>
      </c>
      <c r="C13" s="1" t="s">
        <v>143</v>
      </c>
      <c r="D13" s="1" t="s">
        <v>33</v>
      </c>
      <c r="E13" s="1" t="n">
        <v>1</v>
      </c>
      <c r="G13" s="1" t="s">
        <v>31</v>
      </c>
      <c r="H13" s="1" t="s">
        <v>144</v>
      </c>
      <c r="J13" s="2" t="n">
        <v>43863</v>
      </c>
      <c r="O13" s="1" t="n">
        <v>0</v>
      </c>
      <c r="P13" s="1" t="n">
        <v>36</v>
      </c>
      <c r="Q13" s="1" t="n">
        <v>25.97011555</v>
      </c>
      <c r="R13" s="2" t="n">
        <v>43863</v>
      </c>
      <c r="S13" s="3" t="n">
        <v>3.3</v>
      </c>
      <c r="T13" s="3" t="n">
        <v>0.9</v>
      </c>
      <c r="U13" s="3" t="n">
        <v>0.3</v>
      </c>
      <c r="V13" s="3" t="n">
        <v>262</v>
      </c>
      <c r="W13" s="2" t="n">
        <v>43863</v>
      </c>
      <c r="X13" s="4" t="s">
        <v>33</v>
      </c>
      <c r="Y13" s="4" t="n">
        <v>7</v>
      </c>
      <c r="Z13" s="4" t="n">
        <v>21</v>
      </c>
      <c r="AA13" s="4" t="n">
        <v>50</v>
      </c>
      <c r="AB13" s="4" t="n">
        <v>3.8</v>
      </c>
      <c r="AC13" s="4" t="n">
        <v>2.4</v>
      </c>
      <c r="AD13" s="4" t="n">
        <v>45</v>
      </c>
      <c r="AE13" s="10" t="n">
        <v>5.29</v>
      </c>
    </row>
    <row r="14" customFormat="false" ht="13.5" hidden="false" customHeight="false" outlineLevel="0" collapsed="false">
      <c r="A14" s="1" t="s">
        <v>145</v>
      </c>
      <c r="B14" s="1" t="s">
        <v>31</v>
      </c>
      <c r="C14" s="1" t="s">
        <v>146</v>
      </c>
      <c r="D14" s="1" t="s">
        <v>33</v>
      </c>
      <c r="E14" s="1" t="n">
        <v>1</v>
      </c>
      <c r="G14" s="1" t="s">
        <v>31</v>
      </c>
      <c r="H14" s="1" t="s">
        <v>147</v>
      </c>
      <c r="J14" s="2" t="n">
        <v>43863</v>
      </c>
      <c r="O14" s="1" t="n">
        <v>0</v>
      </c>
      <c r="P14" s="1" t="n">
        <v>23</v>
      </c>
      <c r="Q14" s="1" t="n">
        <v>22.22222222</v>
      </c>
      <c r="R14" s="2" t="n">
        <v>43865</v>
      </c>
      <c r="S14" s="3" t="n">
        <v>9.6</v>
      </c>
      <c r="T14" s="3" t="n">
        <v>0.7</v>
      </c>
      <c r="U14" s="3" t="n">
        <v>0.5</v>
      </c>
      <c r="V14" s="3" t="n">
        <v>208</v>
      </c>
      <c r="W14" s="2" t="n">
        <v>43865</v>
      </c>
      <c r="X14" s="4" t="s">
        <v>33</v>
      </c>
      <c r="Y14" s="4" t="n">
        <v>8</v>
      </c>
      <c r="Z14" s="4" t="n">
        <v>23</v>
      </c>
      <c r="AA14" s="4" t="n">
        <v>9</v>
      </c>
      <c r="AB14" s="4" t="n">
        <v>13.7</v>
      </c>
      <c r="AC14" s="4" t="n">
        <v>4.4</v>
      </c>
      <c r="AD14" s="4" t="n">
        <v>62</v>
      </c>
      <c r="AE14" s="10" t="n">
        <v>5.43</v>
      </c>
    </row>
    <row r="15" customFormat="false" ht="13.5" hidden="false" customHeight="false" outlineLevel="0" collapsed="false">
      <c r="A15" s="1" t="s">
        <v>148</v>
      </c>
      <c r="B15" s="1" t="s">
        <v>31</v>
      </c>
      <c r="C15" s="1" t="s">
        <v>149</v>
      </c>
      <c r="D15" s="1" t="s">
        <v>33</v>
      </c>
      <c r="E15" s="1" t="n">
        <v>1</v>
      </c>
      <c r="G15" s="1" t="s">
        <v>31</v>
      </c>
      <c r="H15" s="1" t="s">
        <v>150</v>
      </c>
      <c r="J15" s="2" t="n">
        <v>43864</v>
      </c>
      <c r="O15" s="1" t="n">
        <v>0</v>
      </c>
      <c r="P15" s="1" t="n">
        <v>32</v>
      </c>
      <c r="Q15" s="1" t="n">
        <v>24.8357635</v>
      </c>
      <c r="R15" s="2" t="n">
        <v>43865</v>
      </c>
      <c r="S15" s="3" t="n">
        <v>5.8</v>
      </c>
      <c r="T15" s="3" t="n">
        <v>2.2</v>
      </c>
      <c r="U15" s="3" t="n">
        <v>0.3</v>
      </c>
      <c r="V15" s="3" t="n">
        <v>230</v>
      </c>
      <c r="W15" s="2" t="n">
        <v>43865</v>
      </c>
      <c r="X15" s="4" t="s">
        <v>151</v>
      </c>
      <c r="Y15" s="4" t="n">
        <v>10</v>
      </c>
      <c r="Z15" s="4" t="n">
        <v>21</v>
      </c>
      <c r="AA15" s="4" t="n">
        <v>15</v>
      </c>
      <c r="AB15" s="4" t="n">
        <v>13</v>
      </c>
      <c r="AC15" s="4" t="n">
        <v>3.4</v>
      </c>
      <c r="AD15" s="4" t="n">
        <v>47</v>
      </c>
      <c r="AE15" s="10" t="n">
        <v>4.62</v>
      </c>
    </row>
    <row r="16" customFormat="false" ht="13.5" hidden="false" customHeight="false" outlineLevel="0" collapsed="false">
      <c r="A16" s="1" t="s">
        <v>152</v>
      </c>
      <c r="B16" s="1" t="s">
        <v>31</v>
      </c>
      <c r="C16" s="1" t="s">
        <v>153</v>
      </c>
      <c r="D16" s="1" t="s">
        <v>33</v>
      </c>
      <c r="E16" s="1" t="n">
        <v>1</v>
      </c>
      <c r="G16" s="1" t="s">
        <v>31</v>
      </c>
      <c r="H16" s="1" t="s">
        <v>154</v>
      </c>
      <c r="J16" s="2" t="n">
        <v>43864</v>
      </c>
      <c r="O16" s="1" t="n">
        <v>0</v>
      </c>
      <c r="P16" s="1" t="n">
        <v>25</v>
      </c>
      <c r="Q16" s="1" t="n">
        <v>21.8299522</v>
      </c>
      <c r="R16" s="2" t="n">
        <v>43864</v>
      </c>
      <c r="S16" s="3" t="n">
        <v>8.5</v>
      </c>
      <c r="T16" s="3" t="n">
        <v>1.2</v>
      </c>
      <c r="U16" s="3" t="n">
        <v>0.7</v>
      </c>
      <c r="V16" s="3" t="n">
        <v>240</v>
      </c>
      <c r="W16" s="2" t="n">
        <v>43864</v>
      </c>
      <c r="X16" s="4" t="n">
        <v>153.3</v>
      </c>
      <c r="Y16" s="4" t="n">
        <v>42</v>
      </c>
      <c r="Z16" s="4" t="n">
        <v>46</v>
      </c>
      <c r="AA16" s="4" t="n">
        <v>41</v>
      </c>
      <c r="AB16" s="4" t="n">
        <v>10.5</v>
      </c>
      <c r="AC16" s="4" t="n">
        <v>3.2</v>
      </c>
      <c r="AD16" s="4" t="n">
        <v>56</v>
      </c>
      <c r="AE16" s="10" t="n">
        <v>6.47</v>
      </c>
    </row>
    <row r="17" customFormat="false" ht="13.5" hidden="false" customHeight="false" outlineLevel="0" collapsed="false">
      <c r="A17" s="1" t="s">
        <v>155</v>
      </c>
      <c r="B17" s="1" t="s">
        <v>31</v>
      </c>
      <c r="C17" s="1" t="s">
        <v>156</v>
      </c>
      <c r="D17" s="1" t="s">
        <v>33</v>
      </c>
      <c r="E17" s="1" t="n">
        <v>1</v>
      </c>
      <c r="G17" s="1" t="s">
        <v>31</v>
      </c>
      <c r="H17" s="1" t="s">
        <v>157</v>
      </c>
      <c r="J17" s="2" t="n">
        <v>43867</v>
      </c>
      <c r="O17" s="1" t="n">
        <v>1</v>
      </c>
      <c r="P17" s="1" t="n">
        <v>38</v>
      </c>
      <c r="Q17" s="1" t="n">
        <v>27.44059917</v>
      </c>
      <c r="R17" s="2" t="n">
        <v>43867</v>
      </c>
      <c r="S17" s="3" t="n">
        <v>4.3</v>
      </c>
      <c r="T17" s="3" t="n">
        <v>0.8</v>
      </c>
      <c r="U17" s="3" t="n">
        <v>0.4</v>
      </c>
      <c r="V17" s="3" t="n">
        <v>236</v>
      </c>
      <c r="W17" s="2" t="n">
        <v>43867</v>
      </c>
      <c r="X17" s="4" t="n">
        <v>4.7</v>
      </c>
      <c r="Y17" s="4" t="n">
        <v>78</v>
      </c>
      <c r="Z17" s="4" t="n">
        <v>41</v>
      </c>
      <c r="AA17" s="4" t="n">
        <v>85</v>
      </c>
      <c r="AB17" s="4" t="n">
        <v>9.2</v>
      </c>
      <c r="AC17" s="4" t="n">
        <v>2.6</v>
      </c>
      <c r="AD17" s="4" t="n">
        <v>80</v>
      </c>
      <c r="AE17" s="10" t="n">
        <v>6.31</v>
      </c>
    </row>
    <row r="18" customFormat="false" ht="13.5" hidden="false" customHeight="false" outlineLevel="0" collapsed="false">
      <c r="A18" s="1" t="s">
        <v>158</v>
      </c>
      <c r="B18" s="1" t="s">
        <v>31</v>
      </c>
      <c r="C18" s="1" t="s">
        <v>159</v>
      </c>
      <c r="D18" s="1" t="s">
        <v>33</v>
      </c>
      <c r="E18" s="1" t="n">
        <v>1</v>
      </c>
      <c r="G18" s="1" t="s">
        <v>31</v>
      </c>
      <c r="H18" s="1" t="s">
        <v>160</v>
      </c>
      <c r="J18" s="2" t="n">
        <v>43864</v>
      </c>
      <c r="O18" s="1" t="n">
        <v>0</v>
      </c>
      <c r="P18" s="1" t="n">
        <v>67</v>
      </c>
      <c r="Q18" s="1" t="n">
        <v>25.15315023</v>
      </c>
      <c r="R18" s="2" t="n">
        <v>43865</v>
      </c>
      <c r="S18" s="3" t="n">
        <v>8.6</v>
      </c>
      <c r="T18" s="3" t="n">
        <v>0.7</v>
      </c>
      <c r="U18" s="3" t="n">
        <v>0.3</v>
      </c>
      <c r="V18" s="3" t="n">
        <v>216</v>
      </c>
      <c r="W18" s="2" t="n">
        <v>43865</v>
      </c>
      <c r="X18" s="4" t="n">
        <v>230.7</v>
      </c>
      <c r="Y18" s="4" t="n">
        <v>9</v>
      </c>
      <c r="Z18" s="4" t="n">
        <v>19</v>
      </c>
      <c r="AA18" s="4" t="n">
        <v>13</v>
      </c>
      <c r="AB18" s="4" t="n">
        <v>15.4</v>
      </c>
      <c r="AC18" s="4" t="n">
        <v>6.3</v>
      </c>
      <c r="AD18" s="4" t="n">
        <v>74</v>
      </c>
      <c r="AE18" s="10" t="n">
        <v>4.48</v>
      </c>
    </row>
    <row r="19" customFormat="false" ht="13.5" hidden="false" customHeight="false" outlineLevel="0" collapsed="false">
      <c r="A19" s="1" t="s">
        <v>161</v>
      </c>
      <c r="B19" s="1" t="s">
        <v>31</v>
      </c>
      <c r="C19" s="1" t="s">
        <v>162</v>
      </c>
      <c r="D19" s="1" t="s">
        <v>33</v>
      </c>
      <c r="E19" s="1" t="n">
        <v>1</v>
      </c>
      <c r="G19" s="1" t="s">
        <v>31</v>
      </c>
      <c r="H19" s="1" t="s">
        <v>163</v>
      </c>
      <c r="J19" s="2" t="n">
        <v>43868</v>
      </c>
      <c r="O19" s="1" t="n">
        <v>1</v>
      </c>
      <c r="P19" s="1" t="n">
        <v>35</v>
      </c>
      <c r="Q19" s="1" t="s">
        <v>33</v>
      </c>
      <c r="R19" s="2" t="n">
        <v>43869</v>
      </c>
      <c r="S19" s="3" t="n">
        <v>24.2</v>
      </c>
      <c r="T19" s="3" t="n">
        <v>0.5</v>
      </c>
      <c r="U19" s="3" t="n">
        <v>0.6</v>
      </c>
      <c r="V19" s="3" t="n">
        <v>275</v>
      </c>
      <c r="W19" s="2" t="n">
        <v>43869</v>
      </c>
      <c r="X19" s="4" t="n">
        <v>45.7</v>
      </c>
      <c r="Y19" s="4" t="n">
        <v>24</v>
      </c>
      <c r="Z19" s="4" t="n">
        <v>42</v>
      </c>
      <c r="AA19" s="4" t="n">
        <v>22</v>
      </c>
      <c r="AB19" s="4" t="n">
        <v>18.3</v>
      </c>
      <c r="AC19" s="4" t="n">
        <v>5.9</v>
      </c>
      <c r="AD19" s="4" t="n">
        <v>67</v>
      </c>
      <c r="AE19" s="10" t="n">
        <v>4.83</v>
      </c>
    </row>
    <row r="20" customFormat="false" ht="13.5" hidden="false" customHeight="false" outlineLevel="0" collapsed="false">
      <c r="A20" s="1" t="s">
        <v>164</v>
      </c>
      <c r="B20" s="1" t="s">
        <v>31</v>
      </c>
      <c r="C20" s="1" t="s">
        <v>165</v>
      </c>
      <c r="D20" s="1" t="s">
        <v>33</v>
      </c>
      <c r="E20" s="1" t="n">
        <v>1</v>
      </c>
      <c r="G20" s="1" t="s">
        <v>31</v>
      </c>
      <c r="H20" s="1" t="s">
        <v>166</v>
      </c>
      <c r="J20" s="2" t="n">
        <v>43866</v>
      </c>
      <c r="O20" s="1" t="n">
        <v>1</v>
      </c>
      <c r="P20" s="1" t="n">
        <v>47</v>
      </c>
      <c r="Q20" s="1" t="s">
        <v>33</v>
      </c>
      <c r="R20" s="2" t="n">
        <v>43867</v>
      </c>
      <c r="S20" s="3" t="n">
        <v>13.5</v>
      </c>
      <c r="T20" s="3" t="n">
        <v>1.5</v>
      </c>
      <c r="U20" s="3" t="n">
        <v>0.7</v>
      </c>
      <c r="V20" s="3" t="n">
        <v>214</v>
      </c>
      <c r="W20" s="2" t="n">
        <v>43867</v>
      </c>
      <c r="X20" s="4" t="n">
        <v>1.7</v>
      </c>
      <c r="Y20" s="4" t="n">
        <v>15</v>
      </c>
      <c r="Z20" s="4" t="n">
        <v>16</v>
      </c>
      <c r="AA20" s="4" t="n">
        <v>35</v>
      </c>
      <c r="AB20" s="4" t="n">
        <v>15.6</v>
      </c>
      <c r="AC20" s="4" t="n">
        <v>4.1</v>
      </c>
      <c r="AD20" s="4" t="n">
        <v>68</v>
      </c>
      <c r="AE20" s="10" t="n">
        <v>5.02</v>
      </c>
    </row>
    <row r="21" customFormat="false" ht="13.5" hidden="false" customHeight="false" outlineLevel="0" collapsed="false">
      <c r="A21" s="1" t="s">
        <v>167</v>
      </c>
      <c r="B21" s="1" t="s">
        <v>31</v>
      </c>
      <c r="C21" s="1" t="s">
        <v>168</v>
      </c>
      <c r="D21" s="1" t="s">
        <v>33</v>
      </c>
      <c r="E21" s="1" t="n">
        <v>1</v>
      </c>
      <c r="G21" s="1" t="s">
        <v>31</v>
      </c>
      <c r="H21" s="1" t="s">
        <v>169</v>
      </c>
      <c r="J21" s="2" t="n">
        <v>43866</v>
      </c>
      <c r="O21" s="1" t="n">
        <v>0</v>
      </c>
      <c r="P21" s="1" t="n">
        <v>41</v>
      </c>
      <c r="Q21" s="1" t="s">
        <v>33</v>
      </c>
      <c r="R21" s="2" t="n">
        <v>43867</v>
      </c>
      <c r="S21" s="3" t="n">
        <v>9.5</v>
      </c>
      <c r="T21" s="3" t="n">
        <v>0.3</v>
      </c>
      <c r="U21" s="3" t="n">
        <v>0.2</v>
      </c>
      <c r="V21" s="3" t="n">
        <v>214</v>
      </c>
      <c r="W21" s="2" t="n">
        <v>43867</v>
      </c>
      <c r="X21" s="4" t="n">
        <v>8.3</v>
      </c>
      <c r="Y21" s="4" t="n">
        <v>29</v>
      </c>
      <c r="Z21" s="4" t="n">
        <v>23</v>
      </c>
      <c r="AA21" s="4" t="n">
        <v>34</v>
      </c>
      <c r="AB21" s="4" t="n">
        <v>7.5</v>
      </c>
      <c r="AC21" s="4" t="n">
        <v>2.6</v>
      </c>
      <c r="AD21" s="4" t="n">
        <v>39</v>
      </c>
      <c r="AE21" s="10" t="n">
        <v>5.44</v>
      </c>
    </row>
    <row r="22" customFormat="false" ht="13.5" hidden="false" customHeight="false" outlineLevel="0" collapsed="false">
      <c r="A22" s="1" t="s">
        <v>170</v>
      </c>
      <c r="B22" s="1" t="s">
        <v>31</v>
      </c>
      <c r="C22" s="1" t="s">
        <v>171</v>
      </c>
      <c r="D22" s="1" t="s">
        <v>33</v>
      </c>
      <c r="E22" s="1" t="n">
        <v>1</v>
      </c>
      <c r="G22" s="1" t="s">
        <v>31</v>
      </c>
      <c r="H22" s="1" t="s">
        <v>172</v>
      </c>
      <c r="J22" s="2" t="n">
        <v>43866</v>
      </c>
      <c r="O22" s="1" t="n">
        <v>1</v>
      </c>
      <c r="P22" s="1" t="n">
        <v>61</v>
      </c>
      <c r="Q22" s="1" t="n">
        <v>24.69135802</v>
      </c>
      <c r="R22" s="2" t="n">
        <v>43867</v>
      </c>
      <c r="S22" s="3" t="n">
        <v>11</v>
      </c>
      <c r="T22" s="3" t="n">
        <v>1.3</v>
      </c>
      <c r="U22" s="3" t="n">
        <v>0.7</v>
      </c>
      <c r="V22" s="3" t="n">
        <v>166</v>
      </c>
      <c r="W22" s="2" t="n">
        <v>43867</v>
      </c>
      <c r="X22" s="4" t="n">
        <v>84.9</v>
      </c>
      <c r="Y22" s="4" t="n">
        <v>15</v>
      </c>
      <c r="Z22" s="4" t="n">
        <v>18</v>
      </c>
      <c r="AA22" s="4" t="n">
        <v>35</v>
      </c>
      <c r="AB22" s="4" t="n">
        <v>14.1</v>
      </c>
      <c r="AC22" s="4" t="n">
        <v>5.1</v>
      </c>
      <c r="AD22" s="4" t="n">
        <v>125</v>
      </c>
      <c r="AE22" s="10" t="n">
        <v>5.83</v>
      </c>
    </row>
    <row r="23" customFormat="false" ht="13.5" hidden="false" customHeight="false" outlineLevel="0" collapsed="false">
      <c r="A23" s="1" t="s">
        <v>173</v>
      </c>
      <c r="B23" s="1" t="s">
        <v>31</v>
      </c>
      <c r="C23" s="1" t="s">
        <v>174</v>
      </c>
      <c r="D23" s="1" t="s">
        <v>175</v>
      </c>
      <c r="E23" s="1" t="n">
        <v>1</v>
      </c>
      <c r="G23" s="1" t="s">
        <v>31</v>
      </c>
      <c r="H23" s="1" t="s">
        <v>176</v>
      </c>
      <c r="J23" s="2" t="n">
        <v>43865</v>
      </c>
      <c r="O23" s="1" t="n">
        <v>1</v>
      </c>
      <c r="P23" s="1" t="n">
        <v>67</v>
      </c>
      <c r="Q23" s="1" t="n">
        <v>21.87242282</v>
      </c>
      <c r="R23" s="2" t="n">
        <v>43865</v>
      </c>
      <c r="S23" s="3" t="n">
        <v>7.9</v>
      </c>
      <c r="T23" s="3" t="n">
        <v>4.1</v>
      </c>
      <c r="U23" s="3" t="n">
        <v>0.5</v>
      </c>
      <c r="V23" s="3" t="n">
        <v>137</v>
      </c>
      <c r="W23" s="2" t="n">
        <v>43867</v>
      </c>
      <c r="X23" s="4" t="n">
        <v>73.6</v>
      </c>
      <c r="Y23" s="4" t="n">
        <v>12</v>
      </c>
      <c r="Z23" s="4" t="n">
        <v>10</v>
      </c>
      <c r="AA23" s="4" t="n">
        <v>46</v>
      </c>
      <c r="AB23" s="4" t="n">
        <v>16.4</v>
      </c>
      <c r="AC23" s="4" t="n">
        <v>10</v>
      </c>
      <c r="AD23" s="4" t="n">
        <v>109</v>
      </c>
      <c r="AE23" s="10" t="n">
        <v>6.51</v>
      </c>
    </row>
    <row r="24" customFormat="false" ht="13.5" hidden="false" customHeight="false" outlineLevel="0" collapsed="false">
      <c r="A24" s="1" t="s">
        <v>177</v>
      </c>
      <c r="B24" s="1" t="s">
        <v>54</v>
      </c>
      <c r="C24" s="1" t="s">
        <v>33</v>
      </c>
      <c r="D24" s="1" t="s">
        <v>33</v>
      </c>
      <c r="E24" s="1" t="n">
        <v>1</v>
      </c>
      <c r="G24" s="1" t="s">
        <v>31</v>
      </c>
      <c r="H24" s="1" t="s">
        <v>178</v>
      </c>
      <c r="J24" s="2" t="n">
        <v>43861</v>
      </c>
      <c r="O24" s="1" t="n">
        <v>1</v>
      </c>
      <c r="P24" s="1" t="n">
        <v>48</v>
      </c>
      <c r="Q24" s="1" t="n">
        <v>24.72518293</v>
      </c>
      <c r="R24" s="2" t="n">
        <v>43861</v>
      </c>
      <c r="S24" s="3" t="n">
        <v>5.5</v>
      </c>
      <c r="T24" s="3" t="n">
        <v>1.4</v>
      </c>
      <c r="U24" s="3" t="n">
        <v>0.5</v>
      </c>
      <c r="V24" s="3" t="n">
        <v>189</v>
      </c>
      <c r="W24" s="2" t="n">
        <v>43862</v>
      </c>
      <c r="X24" s="4" t="n">
        <v>9.3</v>
      </c>
      <c r="Y24" s="4" t="n">
        <v>27</v>
      </c>
      <c r="Z24" s="4" t="n">
        <v>24</v>
      </c>
      <c r="AA24" s="4" t="n">
        <v>41</v>
      </c>
      <c r="AB24" s="4" t="n">
        <v>11.8</v>
      </c>
      <c r="AC24" s="4" t="n">
        <v>4.5</v>
      </c>
      <c r="AD24" s="4" t="n">
        <v>84</v>
      </c>
      <c r="AE24" s="10" t="n">
        <v>10.53</v>
      </c>
    </row>
    <row r="25" customFormat="false" ht="13.5" hidden="false" customHeight="false" outlineLevel="0" collapsed="false">
      <c r="A25" s="1" t="s">
        <v>179</v>
      </c>
      <c r="B25" s="1" t="s">
        <v>31</v>
      </c>
      <c r="C25" s="1" t="s">
        <v>180</v>
      </c>
      <c r="D25" s="1" t="s">
        <v>33</v>
      </c>
      <c r="E25" s="1" t="n">
        <v>1</v>
      </c>
      <c r="G25" s="1" t="s">
        <v>31</v>
      </c>
      <c r="H25" s="1" t="s">
        <v>181</v>
      </c>
      <c r="J25" s="2" t="n">
        <v>43872</v>
      </c>
      <c r="O25" s="1" t="n">
        <v>1</v>
      </c>
      <c r="P25" s="1" t="n">
        <v>45</v>
      </c>
      <c r="Q25" s="1" t="n">
        <v>20.0617284</v>
      </c>
      <c r="R25" s="2" t="n">
        <v>43872</v>
      </c>
      <c r="S25" s="3" t="n">
        <v>6.3</v>
      </c>
      <c r="T25" s="3" t="n">
        <v>1.1</v>
      </c>
      <c r="U25" s="3" t="n">
        <v>0.7</v>
      </c>
      <c r="V25" s="3" t="n">
        <v>210</v>
      </c>
      <c r="W25" s="2" t="n">
        <v>43873</v>
      </c>
      <c r="X25" s="4" t="n">
        <v>16.9</v>
      </c>
      <c r="Y25" s="4" t="n">
        <v>55</v>
      </c>
      <c r="Z25" s="4" t="n">
        <v>32</v>
      </c>
      <c r="AA25" s="4" t="n">
        <v>55</v>
      </c>
      <c r="AB25" s="4" t="n">
        <v>19.1</v>
      </c>
      <c r="AC25" s="4" t="n">
        <v>5.9</v>
      </c>
      <c r="AD25" s="4" t="n">
        <v>92</v>
      </c>
      <c r="AE25" s="10" t="n">
        <v>5.08</v>
      </c>
    </row>
    <row r="26" customFormat="false" ht="13.5" hidden="false" customHeight="false" outlineLevel="0" collapsed="false">
      <c r="A26" s="1" t="s">
        <v>182</v>
      </c>
      <c r="B26" s="1" t="s">
        <v>31</v>
      </c>
      <c r="C26" s="1" t="s">
        <v>183</v>
      </c>
      <c r="D26" s="1" t="s">
        <v>33</v>
      </c>
      <c r="E26" s="1" t="n">
        <v>1</v>
      </c>
      <c r="G26" s="1" t="s">
        <v>31</v>
      </c>
      <c r="H26" s="1" t="s">
        <v>184</v>
      </c>
      <c r="J26" s="2" t="n">
        <v>43871</v>
      </c>
      <c r="O26" s="1" t="n">
        <v>0</v>
      </c>
      <c r="P26" s="1" t="n">
        <v>24</v>
      </c>
      <c r="Q26" s="1" t="n">
        <v>19.140625</v>
      </c>
      <c r="R26" s="2" t="n">
        <v>43871</v>
      </c>
      <c r="S26" s="3" t="n">
        <v>7.5</v>
      </c>
      <c r="T26" s="3" t="n">
        <v>1.7</v>
      </c>
      <c r="U26" s="3" t="n">
        <v>0.9</v>
      </c>
      <c r="V26" s="3" t="n">
        <v>178</v>
      </c>
      <c r="W26" s="2" t="n">
        <v>43872</v>
      </c>
      <c r="X26" s="4" t="n">
        <v>15</v>
      </c>
      <c r="Y26" s="4" t="n">
        <v>9</v>
      </c>
      <c r="Z26" s="4" t="n">
        <v>17</v>
      </c>
      <c r="AA26" s="4" t="n">
        <v>16</v>
      </c>
      <c r="AB26" s="4" t="n">
        <v>8.8</v>
      </c>
      <c r="AC26" s="4" t="n">
        <v>3.1</v>
      </c>
      <c r="AD26" s="4" t="n">
        <v>57</v>
      </c>
      <c r="AE26" s="10" t="n">
        <v>6.11</v>
      </c>
    </row>
    <row r="28" customFormat="false" ht="13.5" hidden="false" customHeight="false" outlineLevel="0" collapsed="false">
      <c r="O28" s="0"/>
      <c r="P28" s="1" t="n">
        <f aca="false">AVERAGE(P2:P26)</f>
        <v>49.2</v>
      </c>
      <c r="Q28" s="1" t="n">
        <f aca="false">AVERAGE(Q2:Q26)</f>
        <v>23.4935671765</v>
      </c>
    </row>
    <row r="29" customFormat="false" ht="13.5" hidden="false" customHeight="false" outlineLevel="0" collapsed="false">
      <c r="O29" s="0"/>
      <c r="P29" s="1" t="n">
        <f aca="false">MEDIAN(P2:P26)</f>
        <v>53</v>
      </c>
      <c r="Q29" s="1" t="n">
        <f aca="false">MEDIAN(Q2:Q26)</f>
        <v>24.69135802</v>
      </c>
    </row>
    <row r="30" customFormat="false" ht="13.5" hidden="false" customHeight="false" outlineLevel="0" collapsed="false">
      <c r="C30" s="9"/>
      <c r="O30" s="0"/>
      <c r="P30" s="1" t="n">
        <f aca="false">MIN(P2:P26)</f>
        <v>23</v>
      </c>
      <c r="Q30" s="1" t="n">
        <f aca="false">MIN(Q2:Q26)</f>
        <v>19.140625</v>
      </c>
    </row>
    <row r="31" customFormat="false" ht="13.5" hidden="false" customHeight="false" outlineLevel="0" collapsed="false">
      <c r="O31" s="0"/>
      <c r="P31" s="1" t="n">
        <f aca="false">MAX(P2:P26)</f>
        <v>67</v>
      </c>
      <c r="Q31" s="1" t="n">
        <f aca="false">MAX(Q2:Q26)</f>
        <v>27.44059917</v>
      </c>
    </row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P72" activeCellId="2" sqref="X:AE S:V P72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2.66"/>
    <col collapsed="false" customWidth="true" hidden="false" outlineLevel="0" max="3" min="3" style="1" width="15.83"/>
    <col collapsed="false" customWidth="true" hidden="false" outlineLevel="0" max="4" min="4" style="1" width="11.83"/>
    <col collapsed="false" customWidth="true" hidden="false" outlineLevel="0" max="5" min="5" style="1" width="9.83"/>
    <col collapsed="false" customWidth="true" hidden="false" outlineLevel="0" max="6" min="6" style="1" width="15.83"/>
    <col collapsed="false" customWidth="true" hidden="false" outlineLevel="0" max="7" min="7" style="1" width="14.66"/>
    <col collapsed="false" customWidth="true" hidden="false" outlineLevel="0" max="8" min="8" style="1" width="15.83"/>
    <col collapsed="false" customWidth="true" hidden="false" outlineLevel="0" max="9" min="9" style="2" width="11.66"/>
    <col collapsed="false" customWidth="true" hidden="false" outlineLevel="0" max="10" min="10" style="2" width="15.83"/>
    <col collapsed="false" customWidth="true" hidden="false" outlineLevel="0" max="11" min="11" style="2" width="14"/>
    <col collapsed="false" customWidth="true" hidden="false" outlineLevel="0" max="13" min="12" style="2" width="9.83"/>
    <col collapsed="false" customWidth="true" hidden="false" outlineLevel="0" max="14" min="14" style="2" width="11.66"/>
    <col collapsed="false" customWidth="false" hidden="false" outlineLevel="0" max="16" min="15" style="1" width="9"/>
    <col collapsed="false" customWidth="true" hidden="false" outlineLevel="0" max="17" min="17" style="1" width="11.33"/>
    <col collapsed="false" customWidth="false" hidden="false" outlineLevel="0" max="18" min="18" style="3" width="9"/>
    <col collapsed="false" customWidth="true" hidden="false" outlineLevel="0" max="19" min="19" style="3" width="12"/>
    <col collapsed="false" customWidth="true" hidden="false" outlineLevel="0" max="20" min="20" style="3" width="10.17"/>
    <col collapsed="false" customWidth="false" hidden="false" outlineLevel="0" max="21" min="21" style="1" width="9"/>
    <col collapsed="false" customWidth="true" hidden="false" outlineLevel="0" max="22" min="22" style="2" width="9.51"/>
    <col collapsed="false" customWidth="false" hidden="false" outlineLevel="0" max="23" min="23" style="4" width="9"/>
    <col collapsed="false" customWidth="false" hidden="false" outlineLevel="0" max="26" min="24" style="1" width="9"/>
    <col collapsed="false" customWidth="false" hidden="false" outlineLevel="0" max="28" min="27" style="4" width="9"/>
    <col collapsed="false" customWidth="true" hidden="false" outlineLevel="0" max="29" min="29" style="1" width="10.66"/>
    <col collapsed="false" customWidth="false" hidden="false" outlineLevel="0" max="1024" min="30" style="1" width="9"/>
  </cols>
  <sheetData>
    <row r="1" s="5" customFormat="true" ht="6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7" t="s">
        <v>20</v>
      </c>
      <c r="V1" s="5" t="s">
        <v>21</v>
      </c>
      <c r="W1" s="6" t="s">
        <v>17</v>
      </c>
      <c r="X1" s="8" t="s">
        <v>22</v>
      </c>
      <c r="Y1" s="5" t="s">
        <v>23</v>
      </c>
      <c r="Z1" s="5" t="s">
        <v>24</v>
      </c>
      <c r="AA1" s="5" t="s">
        <v>25</v>
      </c>
      <c r="AB1" s="8" t="s">
        <v>26</v>
      </c>
      <c r="AC1" s="8" t="s">
        <v>27</v>
      </c>
      <c r="AD1" s="5" t="s">
        <v>28</v>
      </c>
      <c r="AE1" s="5" t="s">
        <v>29</v>
      </c>
    </row>
    <row r="2" customFormat="false" ht="13.5" hidden="false" customHeight="false" outlineLevel="0" collapsed="false">
      <c r="A2" s="1" t="s">
        <v>185</v>
      </c>
      <c r="B2" s="1" t="s">
        <v>31</v>
      </c>
      <c r="C2" s="1" t="s">
        <v>186</v>
      </c>
      <c r="D2" s="1" t="s">
        <v>33</v>
      </c>
      <c r="E2" s="1" t="n">
        <v>3</v>
      </c>
      <c r="F2" s="1" t="s">
        <v>187</v>
      </c>
      <c r="G2" s="1" t="s">
        <v>31</v>
      </c>
      <c r="H2" s="1" t="s">
        <v>188</v>
      </c>
      <c r="I2" s="2" t="n">
        <v>43853</v>
      </c>
      <c r="J2" s="2" t="n">
        <v>43855</v>
      </c>
      <c r="K2" s="2" t="n">
        <v>43857</v>
      </c>
      <c r="L2" s="2" t="n">
        <v>43855</v>
      </c>
      <c r="M2" s="2" t="n">
        <v>43855</v>
      </c>
      <c r="N2" s="2" t="n">
        <v>43870</v>
      </c>
      <c r="O2" s="1" t="n">
        <v>1</v>
      </c>
      <c r="P2" s="1" t="n">
        <v>30</v>
      </c>
      <c r="Q2" s="1" t="n">
        <v>24.8015873</v>
      </c>
      <c r="R2" s="2" t="n">
        <v>43855</v>
      </c>
      <c r="S2" s="3" t="n">
        <v>5.19</v>
      </c>
      <c r="T2" s="3" t="n">
        <v>1.2</v>
      </c>
      <c r="U2" s="3" t="n">
        <v>0.4558</v>
      </c>
      <c r="V2" s="1" t="n">
        <v>118</v>
      </c>
      <c r="W2" s="2" t="n">
        <v>43855</v>
      </c>
      <c r="X2" s="4" t="n">
        <v>42.53</v>
      </c>
      <c r="Y2" s="1" t="n">
        <v>69</v>
      </c>
      <c r="Z2" s="1" t="n">
        <v>77</v>
      </c>
      <c r="AA2" s="1" t="n">
        <v>77</v>
      </c>
      <c r="AB2" s="4" t="n">
        <v>11.8</v>
      </c>
      <c r="AC2" s="4" t="n">
        <v>3.8</v>
      </c>
      <c r="AD2" s="1" t="n">
        <v>89</v>
      </c>
      <c r="AE2" s="1" t="n">
        <v>6.95</v>
      </c>
    </row>
    <row r="3" customFormat="false" ht="13.5" hidden="false" customHeight="false" outlineLevel="0" collapsed="false">
      <c r="A3" s="1" t="s">
        <v>189</v>
      </c>
      <c r="B3" s="1" t="s">
        <v>31</v>
      </c>
      <c r="C3" s="1" t="s">
        <v>190</v>
      </c>
      <c r="D3" s="1" t="s">
        <v>33</v>
      </c>
      <c r="E3" s="1" t="n">
        <v>3</v>
      </c>
      <c r="F3" s="1" t="s">
        <v>187</v>
      </c>
      <c r="G3" s="1" t="s">
        <v>31</v>
      </c>
      <c r="H3" s="1" t="s">
        <v>191</v>
      </c>
      <c r="I3" s="2" t="n">
        <v>43855</v>
      </c>
      <c r="J3" s="2" t="n">
        <v>43858</v>
      </c>
      <c r="K3" s="2" t="n">
        <v>43858</v>
      </c>
      <c r="L3" s="2" t="n">
        <v>43858</v>
      </c>
      <c r="M3" s="2" t="n">
        <v>43858</v>
      </c>
      <c r="N3" s="2" t="n">
        <v>43895</v>
      </c>
      <c r="O3" s="1" t="n">
        <v>1</v>
      </c>
      <c r="P3" s="1" t="n">
        <v>34</v>
      </c>
      <c r="Q3" s="1" t="n">
        <v>26.93877551</v>
      </c>
      <c r="R3" s="2" t="n">
        <v>43858</v>
      </c>
      <c r="S3" s="3" t="n">
        <v>6</v>
      </c>
      <c r="T3" s="3" t="n">
        <v>1.062</v>
      </c>
      <c r="U3" s="3" t="n">
        <v>0.432</v>
      </c>
      <c r="V3" s="1" t="n">
        <v>112</v>
      </c>
      <c r="W3" s="2" t="n">
        <v>43858</v>
      </c>
      <c r="X3" s="4" t="n">
        <v>58.55</v>
      </c>
      <c r="Y3" s="1" t="n">
        <v>21</v>
      </c>
      <c r="Z3" s="1" t="n">
        <v>26</v>
      </c>
      <c r="AA3" s="1" t="n">
        <v>21</v>
      </c>
      <c r="AB3" s="4" t="n">
        <v>24.9</v>
      </c>
      <c r="AC3" s="4" t="n">
        <v>10.2</v>
      </c>
      <c r="AD3" s="1" t="n">
        <v>103</v>
      </c>
      <c r="AE3" s="1" t="n">
        <v>7.32</v>
      </c>
    </row>
    <row r="4" customFormat="false" ht="13.5" hidden="false" customHeight="false" outlineLevel="0" collapsed="false">
      <c r="A4" s="1" t="s">
        <v>192</v>
      </c>
      <c r="B4" s="1" t="s">
        <v>54</v>
      </c>
      <c r="C4" s="1" t="s">
        <v>33</v>
      </c>
      <c r="D4" s="1" t="s">
        <v>33</v>
      </c>
      <c r="E4" s="1" t="n">
        <v>3</v>
      </c>
      <c r="F4" s="1" t="s">
        <v>33</v>
      </c>
      <c r="G4" s="1" t="s">
        <v>31</v>
      </c>
      <c r="H4" s="1" t="s">
        <v>193</v>
      </c>
      <c r="I4" s="2" t="n">
        <v>43845</v>
      </c>
      <c r="J4" s="2" t="n">
        <v>43857</v>
      </c>
      <c r="K4" s="2" t="n">
        <v>43858</v>
      </c>
      <c r="L4" s="2" t="n">
        <v>43868</v>
      </c>
      <c r="M4" s="2" t="s">
        <v>33</v>
      </c>
      <c r="N4" s="2" t="n">
        <v>43879</v>
      </c>
      <c r="O4" s="1" t="n">
        <v>1</v>
      </c>
      <c r="P4" s="1" t="n">
        <v>51</v>
      </c>
      <c r="Q4" s="1" t="n">
        <v>27.34375</v>
      </c>
      <c r="R4" s="2" t="n">
        <v>43857</v>
      </c>
      <c r="S4" s="3" t="n">
        <v>4.7</v>
      </c>
      <c r="T4" s="3" t="n">
        <v>1.1092</v>
      </c>
      <c r="U4" s="3" t="n">
        <v>0.5922</v>
      </c>
      <c r="V4" s="1" t="n">
        <v>185</v>
      </c>
      <c r="W4" s="2" t="n">
        <v>43857</v>
      </c>
      <c r="X4" s="4" t="n">
        <v>9.7</v>
      </c>
      <c r="Y4" s="1" t="n">
        <v>37</v>
      </c>
      <c r="Z4" s="1" t="n">
        <v>45</v>
      </c>
      <c r="AA4" s="1" t="n">
        <v>25</v>
      </c>
      <c r="AB4" s="4" t="n">
        <v>15.4</v>
      </c>
      <c r="AC4" s="4" t="n">
        <v>5</v>
      </c>
      <c r="AD4" s="1" t="n">
        <v>98</v>
      </c>
      <c r="AE4" s="1" t="n">
        <v>16.28</v>
      </c>
    </row>
    <row r="5" customFormat="false" ht="13.5" hidden="false" customHeight="false" outlineLevel="0" collapsed="false">
      <c r="A5" s="1" t="s">
        <v>194</v>
      </c>
      <c r="B5" s="1" t="s">
        <v>31</v>
      </c>
      <c r="C5" s="1" t="s">
        <v>195</v>
      </c>
      <c r="D5" s="1" t="s">
        <v>33</v>
      </c>
      <c r="E5" s="1" t="n">
        <v>3</v>
      </c>
      <c r="F5" s="1" t="s">
        <v>187</v>
      </c>
      <c r="G5" s="1" t="s">
        <v>31</v>
      </c>
      <c r="H5" s="1" t="s">
        <v>196</v>
      </c>
      <c r="I5" s="2" t="n">
        <v>43849</v>
      </c>
      <c r="J5" s="2" t="n">
        <v>43854</v>
      </c>
      <c r="K5" s="2" t="n">
        <v>43853</v>
      </c>
      <c r="L5" s="2" t="n">
        <v>43864</v>
      </c>
      <c r="M5" s="2" t="n">
        <v>43855</v>
      </c>
      <c r="N5" s="2" t="n">
        <v>43879</v>
      </c>
      <c r="O5" s="1" t="n">
        <v>1</v>
      </c>
      <c r="P5" s="1" t="n">
        <v>47</v>
      </c>
      <c r="Q5" s="1" t="n">
        <v>22.265625</v>
      </c>
      <c r="R5" s="2" t="n">
        <v>43854</v>
      </c>
      <c r="S5" s="3" t="n">
        <v>6.76</v>
      </c>
      <c r="T5" s="3" t="n">
        <v>0.9</v>
      </c>
      <c r="U5" s="3" t="n">
        <v>0.5</v>
      </c>
      <c r="V5" s="1" t="n">
        <v>240</v>
      </c>
      <c r="W5" s="2" t="n">
        <v>43855</v>
      </c>
      <c r="X5" s="4" t="n">
        <v>16.9</v>
      </c>
      <c r="Y5" s="1" t="n">
        <v>24</v>
      </c>
      <c r="Z5" s="1" t="n">
        <v>26</v>
      </c>
      <c r="AA5" s="1" t="n">
        <v>15</v>
      </c>
      <c r="AB5" s="4" t="n">
        <v>5.3</v>
      </c>
      <c r="AC5" s="4" t="n">
        <v>1.5</v>
      </c>
      <c r="AD5" s="1" t="n">
        <v>335</v>
      </c>
      <c r="AE5" s="1" t="n">
        <v>5.42</v>
      </c>
    </row>
    <row r="6" customFormat="false" ht="13.5" hidden="false" customHeight="false" outlineLevel="0" collapsed="false">
      <c r="A6" s="1" t="s">
        <v>197</v>
      </c>
      <c r="B6" s="1" t="s">
        <v>54</v>
      </c>
      <c r="C6" s="1" t="s">
        <v>33</v>
      </c>
      <c r="D6" s="1" t="s">
        <v>33</v>
      </c>
      <c r="E6" s="1" t="n">
        <v>3</v>
      </c>
      <c r="F6" s="1" t="s">
        <v>33</v>
      </c>
      <c r="G6" s="1" t="s">
        <v>31</v>
      </c>
      <c r="H6" s="1" t="s">
        <v>198</v>
      </c>
      <c r="I6" s="2" t="n">
        <v>43853</v>
      </c>
      <c r="J6" s="2" t="n">
        <v>43855</v>
      </c>
      <c r="K6" s="2" t="n">
        <v>43861</v>
      </c>
      <c r="L6" s="2" t="n">
        <v>43870</v>
      </c>
      <c r="M6" s="2" t="s">
        <v>33</v>
      </c>
      <c r="N6" s="2" t="n">
        <v>43888</v>
      </c>
      <c r="O6" s="1" t="n">
        <v>0</v>
      </c>
      <c r="P6" s="1" t="n">
        <v>56</v>
      </c>
      <c r="Q6" s="1" t="n">
        <v>28.7317468902109</v>
      </c>
      <c r="R6" s="2" t="n">
        <v>43856</v>
      </c>
      <c r="S6" s="3" t="n">
        <v>1.9</v>
      </c>
      <c r="T6" s="3" t="n">
        <v>0.8645</v>
      </c>
      <c r="U6" s="3" t="n">
        <v>0.2489</v>
      </c>
      <c r="V6" s="1" t="n">
        <v>121</v>
      </c>
      <c r="W6" s="2" t="n">
        <v>43856</v>
      </c>
      <c r="X6" s="4" t="n">
        <v>2.76</v>
      </c>
      <c r="Y6" s="1" t="n">
        <v>21</v>
      </c>
      <c r="Z6" s="1" t="n">
        <v>28</v>
      </c>
      <c r="AA6" s="1" t="n">
        <v>72</v>
      </c>
      <c r="AB6" s="4" t="n">
        <v>9.9</v>
      </c>
      <c r="AC6" s="4" t="n">
        <v>3</v>
      </c>
      <c r="AD6" s="1" t="n">
        <v>78</v>
      </c>
      <c r="AE6" s="1" t="n">
        <v>5.95</v>
      </c>
    </row>
    <row r="7" customFormat="false" ht="13.5" hidden="false" customHeight="false" outlineLevel="0" collapsed="false">
      <c r="A7" s="1" t="s">
        <v>199</v>
      </c>
      <c r="B7" s="1" t="s">
        <v>31</v>
      </c>
      <c r="C7" s="1" t="s">
        <v>200</v>
      </c>
      <c r="D7" s="1" t="s">
        <v>33</v>
      </c>
      <c r="E7" s="1" t="n">
        <v>3</v>
      </c>
      <c r="F7" s="1" t="s">
        <v>187</v>
      </c>
      <c r="G7" s="1" t="s">
        <v>31</v>
      </c>
      <c r="H7" s="1" t="s">
        <v>201</v>
      </c>
      <c r="I7" s="2" t="n">
        <v>43851</v>
      </c>
      <c r="J7" s="2" t="n">
        <v>43853</v>
      </c>
      <c r="K7" s="2" t="n">
        <v>43854</v>
      </c>
      <c r="L7" s="2" t="n">
        <v>43853</v>
      </c>
      <c r="M7" s="2" t="n">
        <v>43854</v>
      </c>
      <c r="N7" s="2" t="n">
        <v>43869</v>
      </c>
      <c r="O7" s="1" t="n">
        <v>1</v>
      </c>
      <c r="P7" s="1" t="n">
        <v>54</v>
      </c>
      <c r="Q7" s="1" t="n">
        <v>31.26690103</v>
      </c>
      <c r="R7" s="2" t="n">
        <v>43853</v>
      </c>
      <c r="S7" s="3" t="n">
        <v>5.5</v>
      </c>
      <c r="T7" s="3" t="n">
        <v>1.441</v>
      </c>
      <c r="U7" s="3" t="n">
        <v>0.649</v>
      </c>
      <c r="V7" s="1" t="n">
        <v>119</v>
      </c>
      <c r="W7" s="2" t="n">
        <v>43854</v>
      </c>
      <c r="X7" s="4" t="n">
        <v>31</v>
      </c>
      <c r="Y7" s="1" t="n">
        <v>97</v>
      </c>
      <c r="Z7" s="1" t="n">
        <v>47</v>
      </c>
      <c r="AA7" s="1" t="n">
        <v>55</v>
      </c>
      <c r="AB7" s="4" t="n">
        <v>32.7</v>
      </c>
      <c r="AC7" s="4" t="n">
        <v>17.9</v>
      </c>
      <c r="AD7" s="1" t="n">
        <v>69</v>
      </c>
      <c r="AE7" s="1" t="n">
        <v>8.1</v>
      </c>
    </row>
    <row r="8" customFormat="false" ht="13.5" hidden="false" customHeight="false" outlineLevel="0" collapsed="false">
      <c r="A8" s="1" t="s">
        <v>202</v>
      </c>
      <c r="B8" s="1" t="s">
        <v>54</v>
      </c>
      <c r="C8" s="1" t="s">
        <v>33</v>
      </c>
      <c r="D8" s="1" t="s">
        <v>33</v>
      </c>
      <c r="E8" s="1" t="n">
        <v>3</v>
      </c>
      <c r="F8" s="1" t="s">
        <v>33</v>
      </c>
      <c r="G8" s="1" t="s">
        <v>31</v>
      </c>
      <c r="H8" s="1" t="s">
        <v>203</v>
      </c>
      <c r="I8" s="2" t="n">
        <v>43839</v>
      </c>
      <c r="J8" s="2" t="n">
        <v>43854</v>
      </c>
      <c r="K8" s="2" t="n">
        <v>43855</v>
      </c>
      <c r="L8" s="2" t="n">
        <v>43854</v>
      </c>
      <c r="M8" s="2" t="s">
        <v>33</v>
      </c>
      <c r="N8" s="2" t="n">
        <v>43875</v>
      </c>
      <c r="O8" s="1" t="n">
        <v>1</v>
      </c>
      <c r="P8" s="1" t="n">
        <v>74</v>
      </c>
      <c r="Q8" s="1" t="n">
        <v>27.05515088</v>
      </c>
      <c r="R8" s="2" t="n">
        <v>43854</v>
      </c>
      <c r="S8" s="3" t="n">
        <v>3.75</v>
      </c>
      <c r="T8" s="3" t="n">
        <v>0.7</v>
      </c>
      <c r="U8" s="3" t="n">
        <v>0.4</v>
      </c>
      <c r="V8" s="1" t="n">
        <v>120</v>
      </c>
      <c r="W8" s="2" t="n">
        <v>43856</v>
      </c>
      <c r="X8" s="4" t="n">
        <v>12.7</v>
      </c>
      <c r="Y8" s="1" t="n">
        <v>22</v>
      </c>
      <c r="Z8" s="1" t="n">
        <v>33</v>
      </c>
      <c r="AA8" s="1" t="n">
        <v>17</v>
      </c>
      <c r="AB8" s="4" t="n">
        <v>22.5</v>
      </c>
      <c r="AC8" s="4" t="n">
        <v>8.4</v>
      </c>
      <c r="AD8" s="1" t="n">
        <v>67</v>
      </c>
      <c r="AE8" s="1" t="n">
        <v>7.66</v>
      </c>
    </row>
    <row r="9" customFormat="false" ht="13.5" hidden="false" customHeight="false" outlineLevel="0" collapsed="false">
      <c r="A9" s="1" t="s">
        <v>204</v>
      </c>
      <c r="B9" s="1" t="s">
        <v>31</v>
      </c>
      <c r="C9" s="1" t="s">
        <v>205</v>
      </c>
      <c r="D9" s="1" t="s">
        <v>206</v>
      </c>
      <c r="E9" s="1" t="n">
        <v>3</v>
      </c>
      <c r="F9" s="1" t="s">
        <v>187</v>
      </c>
      <c r="G9" s="1" t="s">
        <v>31</v>
      </c>
      <c r="H9" s="1" t="s">
        <v>207</v>
      </c>
      <c r="I9" s="2" t="n">
        <v>43853</v>
      </c>
      <c r="J9" s="2" t="n">
        <v>43854</v>
      </c>
      <c r="K9" s="2" t="n">
        <v>43857</v>
      </c>
      <c r="L9" s="2" t="n">
        <v>43854</v>
      </c>
      <c r="M9" s="2" t="n">
        <v>43864</v>
      </c>
      <c r="N9" s="2" t="n">
        <v>43879</v>
      </c>
      <c r="O9" s="1" t="n">
        <v>0</v>
      </c>
      <c r="P9" s="1" t="n">
        <v>35</v>
      </c>
      <c r="Q9" s="1" t="n">
        <v>25.64891762</v>
      </c>
      <c r="R9" s="2" t="n">
        <v>43854</v>
      </c>
      <c r="S9" s="3" t="n">
        <v>5.98</v>
      </c>
      <c r="T9" s="3" t="n">
        <v>1.6</v>
      </c>
      <c r="U9" s="3" t="n">
        <v>0.6</v>
      </c>
      <c r="V9" s="1" t="n">
        <v>301</v>
      </c>
      <c r="W9" s="2" t="n">
        <v>43854</v>
      </c>
      <c r="X9" s="4" t="n">
        <v>1.99</v>
      </c>
      <c r="Y9" s="1" t="n">
        <v>34</v>
      </c>
      <c r="Z9" s="1" t="n">
        <v>28</v>
      </c>
      <c r="AA9" s="1" t="n">
        <v>50</v>
      </c>
      <c r="AB9" s="4" t="n">
        <v>5.6</v>
      </c>
      <c r="AC9" s="4" t="n">
        <v>1.8</v>
      </c>
      <c r="AD9" s="1" t="n">
        <v>72</v>
      </c>
      <c r="AE9" s="1" t="n">
        <v>5.48</v>
      </c>
    </row>
    <row r="10" customFormat="false" ht="13.5" hidden="false" customHeight="false" outlineLevel="0" collapsed="false">
      <c r="A10" s="1" t="s">
        <v>208</v>
      </c>
      <c r="B10" s="1" t="s">
        <v>31</v>
      </c>
      <c r="C10" s="1" t="s">
        <v>209</v>
      </c>
      <c r="D10" s="1" t="s">
        <v>33</v>
      </c>
      <c r="E10" s="1" t="n">
        <v>3</v>
      </c>
      <c r="F10" s="1" t="s">
        <v>187</v>
      </c>
      <c r="G10" s="1" t="s">
        <v>31</v>
      </c>
      <c r="H10" s="1" t="s">
        <v>210</v>
      </c>
      <c r="I10" s="2" t="n">
        <v>43850</v>
      </c>
      <c r="J10" s="2" t="n">
        <v>43850</v>
      </c>
      <c r="K10" s="2" t="n">
        <v>43851</v>
      </c>
      <c r="L10" s="2" t="n">
        <v>43857</v>
      </c>
      <c r="M10" s="2" t="n">
        <v>43854</v>
      </c>
      <c r="N10" s="2" t="n">
        <v>43876</v>
      </c>
      <c r="O10" s="1" t="n">
        <v>0</v>
      </c>
      <c r="P10" s="1" t="n">
        <v>62</v>
      </c>
      <c r="Q10" s="1" t="n">
        <v>27.99036281</v>
      </c>
      <c r="R10" s="2" t="n">
        <v>43850</v>
      </c>
      <c r="S10" s="3" t="n">
        <v>3.7</v>
      </c>
      <c r="T10" s="3" t="n">
        <v>0.7844</v>
      </c>
      <c r="U10" s="3" t="n">
        <v>0.2812</v>
      </c>
      <c r="V10" s="1" t="n">
        <v>156</v>
      </c>
      <c r="W10" s="2" t="n">
        <v>43851</v>
      </c>
      <c r="X10" s="4" t="n">
        <v>23.5</v>
      </c>
      <c r="Y10" s="1" t="n">
        <v>11</v>
      </c>
      <c r="Z10" s="1" t="n">
        <v>25</v>
      </c>
      <c r="AA10" s="1" t="n">
        <v>20</v>
      </c>
      <c r="AB10" s="4" t="n">
        <v>6.3</v>
      </c>
      <c r="AC10" s="4" t="n">
        <v>3.2</v>
      </c>
      <c r="AD10" s="1" t="n">
        <v>73</v>
      </c>
      <c r="AE10" s="1" t="n">
        <v>8.76</v>
      </c>
    </row>
    <row r="11" customFormat="false" ht="13.5" hidden="false" customHeight="false" outlineLevel="0" collapsed="false">
      <c r="A11" s="1" t="s">
        <v>211</v>
      </c>
      <c r="B11" s="1" t="s">
        <v>31</v>
      </c>
      <c r="C11" s="1" t="s">
        <v>212</v>
      </c>
      <c r="D11" s="1" t="s">
        <v>33</v>
      </c>
      <c r="E11" s="1" t="n">
        <v>3</v>
      </c>
      <c r="F11" s="1" t="s">
        <v>187</v>
      </c>
      <c r="G11" s="1" t="s">
        <v>31</v>
      </c>
      <c r="H11" s="1" t="s">
        <v>213</v>
      </c>
      <c r="I11" s="2" t="n">
        <v>43863</v>
      </c>
      <c r="J11" s="2" t="n">
        <v>43865</v>
      </c>
      <c r="K11" s="2" t="n">
        <v>43868</v>
      </c>
      <c r="L11" s="2" t="n">
        <v>43866</v>
      </c>
      <c r="M11" s="2" t="n">
        <v>43866</v>
      </c>
      <c r="N11" s="2" t="n">
        <v>43892</v>
      </c>
      <c r="O11" s="1" t="n">
        <v>1</v>
      </c>
      <c r="P11" s="1" t="n">
        <v>43</v>
      </c>
      <c r="Q11" s="1" t="n">
        <v>24.38652644</v>
      </c>
      <c r="R11" s="2" t="n">
        <v>43865</v>
      </c>
      <c r="S11" s="3" t="n">
        <v>7.59</v>
      </c>
      <c r="T11" s="3" t="n">
        <v>0.783288</v>
      </c>
      <c r="U11" s="3" t="n">
        <v>0.59961</v>
      </c>
      <c r="V11" s="1" t="n">
        <v>174</v>
      </c>
      <c r="W11" s="2" t="n">
        <v>43865</v>
      </c>
      <c r="X11" s="4" t="n">
        <v>37.9</v>
      </c>
      <c r="Y11" s="1" t="n">
        <v>24</v>
      </c>
      <c r="Z11" s="1" t="n">
        <v>24</v>
      </c>
      <c r="AA11" s="1" t="n">
        <v>24</v>
      </c>
      <c r="AB11" s="4" t="n">
        <v>36.4</v>
      </c>
      <c r="AC11" s="4" t="n">
        <v>13.6</v>
      </c>
      <c r="AD11" s="1" t="n">
        <v>95</v>
      </c>
      <c r="AE11" s="1" t="n">
        <v>8.72</v>
      </c>
    </row>
    <row r="12" customFormat="false" ht="13.5" hidden="false" customHeight="false" outlineLevel="0" collapsed="false">
      <c r="A12" s="1" t="s">
        <v>214</v>
      </c>
      <c r="B12" s="1" t="s">
        <v>31</v>
      </c>
      <c r="C12" s="1" t="s">
        <v>215</v>
      </c>
      <c r="D12" s="1" t="s">
        <v>33</v>
      </c>
      <c r="E12" s="1" t="n">
        <v>3</v>
      </c>
      <c r="F12" s="1" t="s">
        <v>187</v>
      </c>
      <c r="G12" s="1" t="s">
        <v>31</v>
      </c>
      <c r="H12" s="1" t="s">
        <v>216</v>
      </c>
      <c r="I12" s="2" t="n">
        <v>43848</v>
      </c>
      <c r="J12" s="2" t="n">
        <v>43861</v>
      </c>
      <c r="K12" s="2" t="n">
        <v>43861</v>
      </c>
      <c r="L12" s="2" t="n">
        <v>43863</v>
      </c>
      <c r="M12" s="2" t="n">
        <v>43862</v>
      </c>
      <c r="N12" s="2" t="n">
        <v>43883</v>
      </c>
      <c r="O12" s="1" t="n">
        <v>1</v>
      </c>
      <c r="P12" s="1" t="n">
        <v>47</v>
      </c>
      <c r="Q12" s="1" t="n">
        <v>22.72043837</v>
      </c>
      <c r="R12" s="2" t="n">
        <v>43861</v>
      </c>
      <c r="S12" s="3" t="n">
        <v>9.14</v>
      </c>
      <c r="T12" s="3" t="n">
        <v>0.625176</v>
      </c>
      <c r="U12" s="3" t="n">
        <v>0.250436</v>
      </c>
      <c r="V12" s="1" t="n">
        <v>292</v>
      </c>
      <c r="W12" s="2" t="n">
        <v>43861</v>
      </c>
      <c r="X12" s="4" t="n">
        <v>29.9</v>
      </c>
      <c r="Y12" s="1" t="n">
        <v>19.6</v>
      </c>
      <c r="Z12" s="1" t="n">
        <v>19</v>
      </c>
      <c r="AA12" s="1" t="n">
        <v>50</v>
      </c>
      <c r="AB12" s="4" t="n">
        <v>15.3</v>
      </c>
      <c r="AC12" s="4" t="n">
        <v>6.2</v>
      </c>
      <c r="AD12" s="1" t="n">
        <v>93</v>
      </c>
      <c r="AE12" s="1" t="n">
        <v>25.63</v>
      </c>
    </row>
    <row r="13" customFormat="false" ht="13.5" hidden="false" customHeight="false" outlineLevel="0" collapsed="false">
      <c r="A13" s="1" t="s">
        <v>217</v>
      </c>
      <c r="B13" s="1" t="s">
        <v>31</v>
      </c>
      <c r="C13" s="1" t="s">
        <v>218</v>
      </c>
      <c r="D13" s="1" t="s">
        <v>33</v>
      </c>
      <c r="E13" s="1" t="n">
        <v>3</v>
      </c>
      <c r="F13" s="1" t="s">
        <v>187</v>
      </c>
      <c r="G13" s="1" t="s">
        <v>31</v>
      </c>
      <c r="H13" s="1" t="s">
        <v>219</v>
      </c>
      <c r="I13" s="2" t="n">
        <v>43863</v>
      </c>
      <c r="J13" s="2" t="n">
        <v>43865</v>
      </c>
      <c r="K13" s="2" t="n">
        <v>43866</v>
      </c>
      <c r="L13" s="2" t="n">
        <v>43866</v>
      </c>
      <c r="M13" s="2" t="n">
        <v>43866</v>
      </c>
      <c r="N13" s="2" t="n">
        <v>43884</v>
      </c>
      <c r="O13" s="1" t="n">
        <v>1</v>
      </c>
      <c r="P13" s="1" t="n">
        <v>70</v>
      </c>
      <c r="Q13" s="1" t="n">
        <v>24.38237298</v>
      </c>
      <c r="R13" s="2" t="n">
        <v>43865</v>
      </c>
      <c r="S13" s="3" t="n">
        <v>6.22</v>
      </c>
      <c r="T13" s="3" t="n">
        <v>0.430424</v>
      </c>
      <c r="U13" s="3" t="n">
        <v>0.21148</v>
      </c>
      <c r="V13" s="1" t="n">
        <v>191</v>
      </c>
      <c r="W13" s="2" t="n">
        <v>43865</v>
      </c>
      <c r="X13" s="4" t="n">
        <v>64.8</v>
      </c>
      <c r="Y13" s="1" t="n">
        <v>30</v>
      </c>
      <c r="Z13" s="1" t="n">
        <v>38</v>
      </c>
      <c r="AA13" s="1" t="n">
        <v>46</v>
      </c>
      <c r="AB13" s="4" t="n">
        <v>11.3</v>
      </c>
      <c r="AC13" s="4" t="n">
        <v>4.7</v>
      </c>
      <c r="AD13" s="1" t="n">
        <v>85</v>
      </c>
      <c r="AE13" s="1" t="n">
        <v>15.31</v>
      </c>
    </row>
    <row r="14" customFormat="false" ht="13.5" hidden="false" customHeight="false" outlineLevel="0" collapsed="false">
      <c r="A14" s="1" t="s">
        <v>220</v>
      </c>
      <c r="B14" s="1" t="s">
        <v>31</v>
      </c>
      <c r="C14" s="1" t="s">
        <v>221</v>
      </c>
      <c r="D14" s="1" t="s">
        <v>33</v>
      </c>
      <c r="E14" s="1" t="n">
        <v>3</v>
      </c>
      <c r="F14" s="1" t="s">
        <v>187</v>
      </c>
      <c r="G14" s="1" t="s">
        <v>31</v>
      </c>
      <c r="H14" s="1" t="s">
        <v>222</v>
      </c>
      <c r="I14" s="2" t="n">
        <v>43854</v>
      </c>
      <c r="J14" s="2" t="n">
        <v>43862</v>
      </c>
      <c r="K14" s="2" t="n">
        <v>43862</v>
      </c>
      <c r="L14" s="2" t="n">
        <v>43863</v>
      </c>
      <c r="M14" s="2" t="n">
        <v>43863</v>
      </c>
      <c r="N14" s="2" t="n">
        <v>43873</v>
      </c>
      <c r="O14" s="1" t="n">
        <v>0</v>
      </c>
      <c r="P14" s="1" t="n">
        <v>64</v>
      </c>
      <c r="Q14" s="1" t="n">
        <v>21.05170826</v>
      </c>
      <c r="R14" s="2" t="n">
        <v>43862</v>
      </c>
      <c r="S14" s="3" t="n">
        <v>12.89</v>
      </c>
      <c r="T14" s="3" t="n">
        <v>0.378966</v>
      </c>
      <c r="U14" s="3" t="n">
        <v>0.494976</v>
      </c>
      <c r="V14" s="1" t="n">
        <v>247</v>
      </c>
      <c r="W14" s="2" t="n">
        <v>43863</v>
      </c>
      <c r="X14" s="4" t="n">
        <v>63.5</v>
      </c>
      <c r="Y14" s="1" t="n">
        <v>12.1</v>
      </c>
      <c r="Z14" s="1" t="n">
        <v>15</v>
      </c>
      <c r="AA14" s="1" t="n">
        <v>24</v>
      </c>
      <c r="AB14" s="4" t="n">
        <v>17.7</v>
      </c>
      <c r="AC14" s="4" t="n">
        <v>6.7</v>
      </c>
      <c r="AD14" s="1" t="n">
        <v>67</v>
      </c>
      <c r="AE14" s="1" t="n">
        <v>8.47</v>
      </c>
    </row>
    <row r="15" customFormat="false" ht="13.5" hidden="false" customHeight="false" outlineLevel="0" collapsed="false">
      <c r="A15" s="1" t="s">
        <v>223</v>
      </c>
      <c r="B15" s="1" t="s">
        <v>31</v>
      </c>
      <c r="C15" s="1" t="s">
        <v>224</v>
      </c>
      <c r="D15" s="1" t="s">
        <v>33</v>
      </c>
      <c r="E15" s="1" t="n">
        <v>3</v>
      </c>
      <c r="F15" s="1" t="s">
        <v>187</v>
      </c>
      <c r="G15" s="1" t="s">
        <v>31</v>
      </c>
      <c r="H15" s="1" t="s">
        <v>225</v>
      </c>
      <c r="I15" s="2" t="n">
        <v>43854</v>
      </c>
      <c r="J15" s="2" t="n">
        <v>43863</v>
      </c>
      <c r="K15" s="2" t="n">
        <v>43863</v>
      </c>
      <c r="L15" s="2" t="n">
        <v>43864</v>
      </c>
      <c r="M15" s="2" t="n">
        <v>43864</v>
      </c>
      <c r="N15" s="2" t="n">
        <v>43899</v>
      </c>
      <c r="O15" s="1" t="n">
        <v>1</v>
      </c>
      <c r="P15" s="1" t="n">
        <v>75</v>
      </c>
      <c r="Q15" s="1" t="n">
        <v>24.4646016</v>
      </c>
      <c r="R15" s="2" t="n">
        <v>43864</v>
      </c>
      <c r="S15" s="3" t="n">
        <v>6.77</v>
      </c>
      <c r="T15" s="3" t="n">
        <v>0.679708</v>
      </c>
      <c r="U15" s="3" t="n">
        <v>0.469838</v>
      </c>
      <c r="V15" s="1" t="n">
        <v>234</v>
      </c>
      <c r="W15" s="2" t="n">
        <v>43864</v>
      </c>
      <c r="X15" s="4" t="n">
        <v>101.89</v>
      </c>
      <c r="Y15" s="1" t="n">
        <v>37</v>
      </c>
      <c r="Z15" s="1" t="n">
        <v>77</v>
      </c>
      <c r="AA15" s="1" t="n">
        <v>78</v>
      </c>
      <c r="AB15" s="4" t="n">
        <v>11</v>
      </c>
      <c r="AC15" s="4" t="n">
        <v>3.8</v>
      </c>
      <c r="AD15" s="1" t="n">
        <v>76</v>
      </c>
      <c r="AE15" s="1" t="n">
        <v>4.58</v>
      </c>
    </row>
    <row r="16" customFormat="false" ht="13.5" hidden="false" customHeight="false" outlineLevel="0" collapsed="false">
      <c r="A16" s="1" t="s">
        <v>226</v>
      </c>
      <c r="B16" s="1" t="s">
        <v>31</v>
      </c>
      <c r="C16" s="1" t="s">
        <v>227</v>
      </c>
      <c r="D16" s="1" t="s">
        <v>33</v>
      </c>
      <c r="E16" s="1" t="n">
        <v>3</v>
      </c>
      <c r="F16" s="1" t="s">
        <v>187</v>
      </c>
      <c r="G16" s="1" t="s">
        <v>31</v>
      </c>
      <c r="H16" s="1" t="s">
        <v>228</v>
      </c>
      <c r="I16" s="2" t="n">
        <v>43862</v>
      </c>
      <c r="J16" s="2" t="n">
        <v>43864</v>
      </c>
      <c r="K16" s="2" t="n">
        <v>43869</v>
      </c>
      <c r="L16" s="2" t="n">
        <v>43865</v>
      </c>
      <c r="M16" s="2" t="n">
        <v>43865</v>
      </c>
      <c r="N16" s="2" t="n">
        <v>43882</v>
      </c>
      <c r="O16" s="1" t="n">
        <v>1</v>
      </c>
      <c r="P16" s="1" t="n">
        <v>51</v>
      </c>
      <c r="Q16" s="1" t="n">
        <v>23.42209073</v>
      </c>
      <c r="R16" s="2" t="n">
        <v>43864</v>
      </c>
      <c r="S16" s="3" t="n">
        <v>8.77</v>
      </c>
      <c r="T16" s="3" t="n">
        <v>2.56084</v>
      </c>
      <c r="U16" s="3" t="n">
        <v>0.42096</v>
      </c>
      <c r="V16" s="1" t="n">
        <v>158</v>
      </c>
      <c r="W16" s="2" t="n">
        <v>43864</v>
      </c>
      <c r="X16" s="4" t="n">
        <v>15</v>
      </c>
      <c r="Y16" s="1" t="n">
        <v>34.7</v>
      </c>
      <c r="Z16" s="1" t="n">
        <v>31</v>
      </c>
      <c r="AA16" s="1" t="n">
        <v>64</v>
      </c>
      <c r="AB16" s="4" t="n">
        <v>25.9</v>
      </c>
      <c r="AC16" s="4" t="n">
        <v>9.9</v>
      </c>
      <c r="AD16" s="1" t="n">
        <v>89</v>
      </c>
      <c r="AE16" s="1" t="n">
        <v>7.79</v>
      </c>
    </row>
    <row r="17" customFormat="false" ht="13.5" hidden="false" customHeight="false" outlineLevel="0" collapsed="false">
      <c r="A17" s="1" t="s">
        <v>229</v>
      </c>
      <c r="B17" s="1" t="s">
        <v>54</v>
      </c>
      <c r="C17" s="1" t="s">
        <v>33</v>
      </c>
      <c r="D17" s="1" t="s">
        <v>33</v>
      </c>
      <c r="E17" s="1" t="n">
        <v>3</v>
      </c>
      <c r="F17" s="1" t="s">
        <v>33</v>
      </c>
      <c r="G17" s="1" t="s">
        <v>31</v>
      </c>
      <c r="H17" s="1" t="s">
        <v>230</v>
      </c>
      <c r="I17" s="2" t="n">
        <v>43839</v>
      </c>
      <c r="J17" s="2" t="n">
        <v>43849</v>
      </c>
      <c r="K17" s="2" t="n">
        <v>43849</v>
      </c>
      <c r="L17" s="2" t="n">
        <v>43849</v>
      </c>
      <c r="M17" s="2" t="s">
        <v>33</v>
      </c>
      <c r="N17" s="2" t="n">
        <v>43882</v>
      </c>
      <c r="O17" s="1" t="n">
        <v>0</v>
      </c>
      <c r="P17" s="1" t="n">
        <v>55</v>
      </c>
      <c r="Q17" s="1" t="n">
        <v>22.58270917</v>
      </c>
      <c r="R17" s="2" t="n">
        <v>43850</v>
      </c>
      <c r="S17" s="3" t="n">
        <v>6.9</v>
      </c>
      <c r="T17" s="3" t="n">
        <v>0.3726</v>
      </c>
      <c r="U17" s="3" t="n">
        <v>0.1242</v>
      </c>
      <c r="V17" s="1" t="n">
        <v>125</v>
      </c>
      <c r="W17" s="2" t="n">
        <v>43850</v>
      </c>
      <c r="X17" s="4" t="n">
        <v>185</v>
      </c>
      <c r="Y17" s="1" t="n">
        <v>20</v>
      </c>
      <c r="Z17" s="1" t="n">
        <v>64</v>
      </c>
      <c r="AA17" s="1" t="n">
        <v>37</v>
      </c>
      <c r="AB17" s="4" t="n">
        <v>6.1</v>
      </c>
      <c r="AC17" s="4" t="n">
        <v>2.7</v>
      </c>
      <c r="AD17" s="1" t="n">
        <v>62</v>
      </c>
      <c r="AE17" s="1" t="n">
        <v>7.05</v>
      </c>
    </row>
    <row r="18" customFormat="false" ht="13.5" hidden="false" customHeight="false" outlineLevel="0" collapsed="false">
      <c r="A18" s="1" t="s">
        <v>231</v>
      </c>
      <c r="B18" s="1" t="s">
        <v>31</v>
      </c>
      <c r="C18" s="1" t="s">
        <v>232</v>
      </c>
      <c r="D18" s="1" t="s">
        <v>33</v>
      </c>
      <c r="E18" s="1" t="n">
        <v>3</v>
      </c>
      <c r="F18" s="1" t="s">
        <v>187</v>
      </c>
      <c r="G18" s="1" t="s">
        <v>31</v>
      </c>
      <c r="H18" s="1" t="s">
        <v>233</v>
      </c>
      <c r="I18" s="2" t="n">
        <v>43857</v>
      </c>
      <c r="J18" s="2" t="n">
        <v>43862</v>
      </c>
      <c r="K18" s="2" t="n">
        <v>43865</v>
      </c>
      <c r="L18" s="2" t="n">
        <v>43863</v>
      </c>
      <c r="M18" s="2" t="n">
        <v>43863</v>
      </c>
      <c r="N18" s="2" t="n">
        <v>43892</v>
      </c>
      <c r="O18" s="1" t="n">
        <v>0</v>
      </c>
      <c r="P18" s="1" t="n">
        <v>52</v>
      </c>
      <c r="Q18" s="1" t="n">
        <v>24.67550027</v>
      </c>
      <c r="R18" s="2" t="n">
        <v>43862</v>
      </c>
      <c r="S18" s="3" t="n">
        <v>3.91</v>
      </c>
      <c r="T18" s="3" t="n">
        <v>0.982974</v>
      </c>
      <c r="U18" s="3" t="n">
        <v>0.200974</v>
      </c>
      <c r="V18" s="1" t="n">
        <v>175</v>
      </c>
      <c r="W18" s="2" t="n">
        <v>43862</v>
      </c>
      <c r="X18" s="4" t="n">
        <v>17.9</v>
      </c>
      <c r="Y18" s="1" t="n">
        <v>29.4</v>
      </c>
      <c r="Z18" s="1" t="n">
        <v>29</v>
      </c>
      <c r="AA18" s="1" t="n">
        <v>27</v>
      </c>
      <c r="AB18" s="4" t="n">
        <v>15.5</v>
      </c>
      <c r="AC18" s="4" t="n">
        <v>6.5</v>
      </c>
      <c r="AD18" s="1" t="n">
        <v>63</v>
      </c>
      <c r="AE18" s="1" t="n">
        <v>7.35</v>
      </c>
    </row>
    <row r="19" customFormat="false" ht="13.5" hidden="false" customHeight="false" outlineLevel="0" collapsed="false">
      <c r="A19" s="1" t="s">
        <v>234</v>
      </c>
      <c r="B19" s="1" t="s">
        <v>31</v>
      </c>
      <c r="C19" s="1" t="s">
        <v>235</v>
      </c>
      <c r="D19" s="1" t="s">
        <v>33</v>
      </c>
      <c r="E19" s="1" t="n">
        <v>3</v>
      </c>
      <c r="F19" s="1" t="s">
        <v>236</v>
      </c>
      <c r="G19" s="1" t="s">
        <v>31</v>
      </c>
      <c r="H19" s="1" t="s">
        <v>237</v>
      </c>
      <c r="I19" s="2" t="n">
        <v>43854</v>
      </c>
      <c r="J19" s="2" t="n">
        <v>43862</v>
      </c>
      <c r="K19" s="2" t="n">
        <v>43865</v>
      </c>
      <c r="L19" s="2" t="n">
        <v>43863</v>
      </c>
      <c r="M19" s="2" t="n">
        <v>43863</v>
      </c>
      <c r="N19" s="2" t="n">
        <v>43888</v>
      </c>
      <c r="O19" s="1" t="n">
        <v>1</v>
      </c>
      <c r="P19" s="1" t="n">
        <v>55</v>
      </c>
      <c r="Q19" s="1" t="n">
        <v>24.91349481</v>
      </c>
      <c r="R19" s="2" t="n">
        <v>43862</v>
      </c>
      <c r="S19" s="3" t="n">
        <v>6.08</v>
      </c>
      <c r="T19" s="3" t="n">
        <v>0.652992</v>
      </c>
      <c r="U19" s="3" t="n">
        <v>0.330752</v>
      </c>
      <c r="V19" s="1" t="n">
        <v>138</v>
      </c>
      <c r="W19" s="2" t="n">
        <v>43862</v>
      </c>
      <c r="X19" s="4" t="n">
        <v>89.8</v>
      </c>
      <c r="Y19" s="1" t="n">
        <v>44</v>
      </c>
      <c r="Z19" s="1" t="n">
        <v>61</v>
      </c>
      <c r="AA19" s="1" t="n">
        <v>32</v>
      </c>
      <c r="AB19" s="4" t="n">
        <v>20.9</v>
      </c>
      <c r="AC19" s="4" t="n">
        <v>8.5</v>
      </c>
      <c r="AD19" s="1" t="n">
        <v>142</v>
      </c>
      <c r="AE19" s="1" t="n">
        <v>21.37</v>
      </c>
    </row>
    <row r="20" customFormat="false" ht="13.5" hidden="false" customHeight="false" outlineLevel="0" collapsed="false">
      <c r="A20" s="1" t="s">
        <v>238</v>
      </c>
      <c r="B20" s="1" t="s">
        <v>31</v>
      </c>
      <c r="C20" s="1" t="s">
        <v>239</v>
      </c>
      <c r="D20" s="1" t="s">
        <v>33</v>
      </c>
      <c r="E20" s="1" t="n">
        <v>3</v>
      </c>
      <c r="F20" s="1" t="s">
        <v>236</v>
      </c>
      <c r="G20" s="1" t="s">
        <v>31</v>
      </c>
      <c r="H20" s="1" t="s">
        <v>240</v>
      </c>
      <c r="I20" s="2" t="n">
        <v>43854</v>
      </c>
      <c r="J20" s="2" t="n">
        <v>43862</v>
      </c>
      <c r="K20" s="2" t="n">
        <v>43865</v>
      </c>
      <c r="L20" s="2" t="n">
        <v>43863</v>
      </c>
      <c r="M20" s="2" t="n">
        <v>43863</v>
      </c>
      <c r="N20" s="2" t="n">
        <v>43895</v>
      </c>
      <c r="O20" s="1" t="n">
        <v>0</v>
      </c>
      <c r="P20" s="1" t="n">
        <v>65</v>
      </c>
      <c r="Q20" s="1" t="n">
        <v>24.08822312</v>
      </c>
      <c r="R20" s="2" t="n">
        <v>43865</v>
      </c>
      <c r="S20" s="3" t="n">
        <v>6.13</v>
      </c>
      <c r="T20" s="3" t="n">
        <v>0.462202</v>
      </c>
      <c r="U20" s="3" t="n">
        <v>0.210872</v>
      </c>
      <c r="V20" s="1" t="n">
        <v>124</v>
      </c>
      <c r="W20" s="2" t="n">
        <v>43865</v>
      </c>
      <c r="X20" s="4" t="n">
        <v>173.9</v>
      </c>
      <c r="Y20" s="1" t="n">
        <v>63.1</v>
      </c>
      <c r="Z20" s="1" t="n">
        <v>85</v>
      </c>
      <c r="AA20" s="1" t="n">
        <v>76</v>
      </c>
      <c r="AB20" s="4" t="n">
        <v>17.3</v>
      </c>
      <c r="AC20" s="4" t="n">
        <v>7.5</v>
      </c>
      <c r="AD20" s="1" t="n">
        <v>169</v>
      </c>
      <c r="AE20" s="1" t="n">
        <v>8.63</v>
      </c>
    </row>
    <row r="21" customFormat="false" ht="13.5" hidden="false" customHeight="false" outlineLevel="0" collapsed="false">
      <c r="A21" s="1" t="s">
        <v>241</v>
      </c>
      <c r="B21" s="1" t="s">
        <v>31</v>
      </c>
      <c r="C21" s="1" t="s">
        <v>242</v>
      </c>
      <c r="D21" s="1" t="s">
        <v>33</v>
      </c>
      <c r="E21" s="1" t="n">
        <v>3</v>
      </c>
      <c r="F21" s="1" t="s">
        <v>236</v>
      </c>
      <c r="G21" s="1" t="s">
        <v>31</v>
      </c>
      <c r="H21" s="1" t="s">
        <v>243</v>
      </c>
      <c r="I21" s="2" t="n">
        <v>43840</v>
      </c>
      <c r="J21" s="2" t="n">
        <v>43863</v>
      </c>
      <c r="K21" s="2" t="n">
        <v>43865</v>
      </c>
      <c r="L21" s="2" t="n">
        <v>43864</v>
      </c>
      <c r="M21" s="2" t="n">
        <v>43864</v>
      </c>
      <c r="N21" s="2" t="n">
        <v>43884</v>
      </c>
      <c r="O21" s="1" t="n">
        <v>1</v>
      </c>
      <c r="P21" s="1" t="n">
        <v>62</v>
      </c>
      <c r="Q21" s="1" t="s">
        <v>33</v>
      </c>
      <c r="R21" s="2" t="n">
        <v>43863</v>
      </c>
      <c r="S21" s="3" t="n">
        <v>5.62</v>
      </c>
      <c r="T21" s="3" t="n">
        <v>0.900324</v>
      </c>
      <c r="U21" s="3" t="n">
        <v>0.4215</v>
      </c>
      <c r="V21" s="1" t="n">
        <v>123</v>
      </c>
      <c r="W21" s="2" t="n">
        <v>43863</v>
      </c>
      <c r="X21" s="4" t="n">
        <v>7.1</v>
      </c>
      <c r="Y21" s="1" t="n">
        <v>53.2</v>
      </c>
      <c r="Z21" s="1" t="n">
        <v>57</v>
      </c>
      <c r="AA21" s="1" t="n">
        <v>33</v>
      </c>
      <c r="AB21" s="4" t="n">
        <v>18.8</v>
      </c>
      <c r="AC21" s="4" t="n">
        <v>6.8</v>
      </c>
      <c r="AD21" s="1" t="n">
        <v>72</v>
      </c>
      <c r="AE21" s="1" t="n">
        <v>7.31</v>
      </c>
    </row>
    <row r="22" customFormat="false" ht="13.5" hidden="false" customHeight="false" outlineLevel="0" collapsed="false">
      <c r="A22" s="1" t="s">
        <v>244</v>
      </c>
      <c r="B22" s="1" t="s">
        <v>31</v>
      </c>
      <c r="C22" s="1" t="s">
        <v>245</v>
      </c>
      <c r="D22" s="1" t="s">
        <v>33</v>
      </c>
      <c r="E22" s="1" t="n">
        <v>3</v>
      </c>
      <c r="F22" s="1" t="s">
        <v>236</v>
      </c>
      <c r="G22" s="1" t="s">
        <v>31</v>
      </c>
      <c r="H22" s="1" t="s">
        <v>246</v>
      </c>
      <c r="I22" s="2" t="n">
        <v>43851</v>
      </c>
      <c r="J22" s="2" t="n">
        <v>43861</v>
      </c>
      <c r="K22" s="2" t="n">
        <v>43861</v>
      </c>
      <c r="L22" s="2" t="n">
        <v>43863</v>
      </c>
      <c r="M22" s="2" t="n">
        <v>43863</v>
      </c>
      <c r="N22" s="2" t="n">
        <v>43881</v>
      </c>
      <c r="O22" s="1" t="n">
        <v>0</v>
      </c>
      <c r="P22" s="1" t="n">
        <v>59</v>
      </c>
      <c r="Q22" s="1" t="n">
        <v>28.3446712</v>
      </c>
      <c r="R22" s="2" t="n">
        <v>43861</v>
      </c>
      <c r="S22" s="3" t="n">
        <v>23.55</v>
      </c>
      <c r="T22" s="3" t="n">
        <v>0.64527</v>
      </c>
      <c r="U22" s="3" t="n">
        <v>0.69237</v>
      </c>
      <c r="V22" s="1" t="n">
        <v>287</v>
      </c>
      <c r="W22" s="2" t="n">
        <v>43861</v>
      </c>
      <c r="X22" s="4" t="n">
        <v>13</v>
      </c>
      <c r="Y22" s="1" t="n">
        <v>18.5</v>
      </c>
      <c r="Z22" s="1" t="n">
        <v>14</v>
      </c>
      <c r="AA22" s="1" t="n">
        <v>22</v>
      </c>
      <c r="AB22" s="4" t="n">
        <v>16.9</v>
      </c>
      <c r="AC22" s="4" t="n">
        <v>6.3</v>
      </c>
      <c r="AD22" s="1" t="n">
        <v>88</v>
      </c>
      <c r="AE22" s="1" t="n">
        <v>9.84</v>
      </c>
    </row>
    <row r="23" customFormat="false" ht="13.5" hidden="false" customHeight="false" outlineLevel="0" collapsed="false">
      <c r="A23" s="1" t="s">
        <v>247</v>
      </c>
      <c r="B23" s="1" t="s">
        <v>31</v>
      </c>
      <c r="C23" s="1" t="s">
        <v>247</v>
      </c>
      <c r="D23" s="1" t="s">
        <v>33</v>
      </c>
      <c r="E23" s="1" t="n">
        <v>3</v>
      </c>
      <c r="F23" s="1" t="s">
        <v>248</v>
      </c>
      <c r="G23" s="1" t="s">
        <v>31</v>
      </c>
      <c r="H23" s="1" t="s">
        <v>247</v>
      </c>
      <c r="I23" s="2" t="n">
        <v>43862</v>
      </c>
      <c r="J23" s="2" t="n">
        <v>43870</v>
      </c>
      <c r="K23" s="2" t="n">
        <v>43870</v>
      </c>
      <c r="L23" s="2" t="n">
        <v>43870</v>
      </c>
      <c r="M23" s="2" t="n">
        <v>43870</v>
      </c>
      <c r="N23" s="2" t="n">
        <v>43887</v>
      </c>
      <c r="O23" s="1" t="n">
        <v>1</v>
      </c>
      <c r="P23" s="1" t="n">
        <v>65</v>
      </c>
      <c r="Q23" s="1" t="n">
        <v>22.2222222222222</v>
      </c>
      <c r="R23" s="2" t="n">
        <v>43870</v>
      </c>
      <c r="S23" s="3" t="n">
        <v>6.19</v>
      </c>
      <c r="T23" s="3" t="n">
        <v>0.689566</v>
      </c>
      <c r="U23" s="3" t="n">
        <v>0.522436</v>
      </c>
      <c r="V23" s="1" t="n">
        <v>257</v>
      </c>
      <c r="W23" s="2" t="n">
        <v>43870</v>
      </c>
      <c r="X23" s="4" t="n">
        <v>10.4</v>
      </c>
      <c r="Y23" s="1" t="n">
        <v>31.6</v>
      </c>
      <c r="Z23" s="1" t="n">
        <v>41</v>
      </c>
      <c r="AA23" s="1" t="n">
        <v>25</v>
      </c>
      <c r="AB23" s="4" t="n">
        <v>24.4</v>
      </c>
      <c r="AC23" s="4" t="n">
        <v>10.6</v>
      </c>
      <c r="AD23" s="1" t="n">
        <v>56</v>
      </c>
      <c r="AE23" s="1" t="n">
        <v>6.16</v>
      </c>
    </row>
    <row r="24" customFormat="false" ht="13.5" hidden="false" customHeight="false" outlineLevel="0" collapsed="false">
      <c r="A24" s="1" t="s">
        <v>249</v>
      </c>
      <c r="B24" s="1" t="s">
        <v>31</v>
      </c>
      <c r="C24" s="1" t="s">
        <v>249</v>
      </c>
      <c r="D24" s="1" t="s">
        <v>33</v>
      </c>
      <c r="E24" s="1" t="n">
        <v>3</v>
      </c>
      <c r="F24" s="1" t="s">
        <v>248</v>
      </c>
      <c r="G24" s="1" t="s">
        <v>31</v>
      </c>
      <c r="H24" s="1" t="s">
        <v>249</v>
      </c>
      <c r="I24" s="2" t="n">
        <v>43860</v>
      </c>
      <c r="J24" s="2" t="n">
        <v>43870</v>
      </c>
      <c r="K24" s="2" t="n">
        <v>43870</v>
      </c>
      <c r="L24" s="2" t="n">
        <v>43871</v>
      </c>
      <c r="M24" s="2" t="n">
        <v>43871</v>
      </c>
      <c r="N24" s="2" t="n">
        <v>43897</v>
      </c>
      <c r="O24" s="1" t="n">
        <v>1</v>
      </c>
      <c r="P24" s="1" t="n">
        <v>51</v>
      </c>
      <c r="Q24" s="1" t="s">
        <v>33</v>
      </c>
      <c r="R24" s="2" t="n">
        <v>43871</v>
      </c>
      <c r="S24" s="3" t="n">
        <v>4.38</v>
      </c>
      <c r="T24" s="3" t="n">
        <v>0.693792</v>
      </c>
      <c r="U24" s="3" t="n">
        <v>0.211992</v>
      </c>
      <c r="V24" s="1" t="n">
        <v>209</v>
      </c>
      <c r="W24" s="2" t="n">
        <v>43871</v>
      </c>
      <c r="X24" s="4" t="n">
        <v>16.7</v>
      </c>
      <c r="Y24" s="1" t="n">
        <v>17.8</v>
      </c>
      <c r="Z24" s="1" t="n">
        <v>27</v>
      </c>
      <c r="AA24" s="1" t="n">
        <v>19</v>
      </c>
      <c r="AB24" s="4" t="n">
        <v>19.8</v>
      </c>
      <c r="AC24" s="4" t="n">
        <v>7.4</v>
      </c>
      <c r="AD24" s="1" t="n">
        <v>75</v>
      </c>
      <c r="AE24" s="1" t="n">
        <v>7.64</v>
      </c>
    </row>
    <row r="25" customFormat="false" ht="13.5" hidden="false" customHeight="false" outlineLevel="0" collapsed="false">
      <c r="A25" s="1" t="s">
        <v>250</v>
      </c>
      <c r="B25" s="1" t="s">
        <v>31</v>
      </c>
      <c r="C25" s="1" t="s">
        <v>250</v>
      </c>
      <c r="D25" s="1" t="s">
        <v>33</v>
      </c>
      <c r="E25" s="1" t="n">
        <v>3</v>
      </c>
      <c r="F25" s="1" t="s">
        <v>248</v>
      </c>
      <c r="G25" s="1" t="s">
        <v>31</v>
      </c>
      <c r="H25" s="1" t="s">
        <v>250</v>
      </c>
      <c r="I25" s="2" t="n">
        <v>43862</v>
      </c>
      <c r="J25" s="2" t="n">
        <v>43868</v>
      </c>
      <c r="K25" s="2" t="n">
        <v>43870</v>
      </c>
      <c r="L25" s="2" t="n">
        <v>43869</v>
      </c>
      <c r="M25" s="2" t="n">
        <v>43869</v>
      </c>
      <c r="N25" s="2" t="n">
        <v>43899</v>
      </c>
      <c r="O25" s="1" t="n">
        <v>0</v>
      </c>
      <c r="P25" s="1" t="n">
        <v>56</v>
      </c>
      <c r="Q25" s="1" t="n">
        <v>26.5731292517007</v>
      </c>
      <c r="R25" s="2" t="n">
        <v>43868</v>
      </c>
      <c r="S25" s="3" t="n">
        <v>7.55</v>
      </c>
      <c r="T25" s="3" t="n">
        <v>0.24311</v>
      </c>
      <c r="U25" s="3" t="n">
        <v>0.2718</v>
      </c>
      <c r="V25" s="1" t="n">
        <v>112</v>
      </c>
      <c r="W25" s="2" t="n">
        <v>43868</v>
      </c>
      <c r="X25" s="4" t="n">
        <v>7</v>
      </c>
      <c r="Y25" s="1" t="n">
        <v>55.2</v>
      </c>
      <c r="Z25" s="1" t="n">
        <v>30</v>
      </c>
      <c r="AA25" s="1" t="n">
        <v>76</v>
      </c>
      <c r="AB25" s="4" t="n">
        <v>15.3</v>
      </c>
      <c r="AC25" s="4" t="n">
        <v>4.9</v>
      </c>
      <c r="AD25" s="1" t="n">
        <v>75</v>
      </c>
      <c r="AE25" s="1" t="n">
        <v>16.08</v>
      </c>
    </row>
    <row r="26" customFormat="false" ht="13.5" hidden="false" customHeight="false" outlineLevel="0" collapsed="false">
      <c r="A26" s="1" t="s">
        <v>251</v>
      </c>
      <c r="B26" s="1" t="s">
        <v>31</v>
      </c>
      <c r="C26" s="1" t="s">
        <v>251</v>
      </c>
      <c r="D26" s="1" t="s">
        <v>33</v>
      </c>
      <c r="E26" s="1" t="n">
        <v>3</v>
      </c>
      <c r="F26" s="1" t="s">
        <v>248</v>
      </c>
      <c r="G26" s="1" t="s">
        <v>31</v>
      </c>
      <c r="H26" s="1" t="s">
        <v>251</v>
      </c>
      <c r="I26" s="2" t="n">
        <v>43861</v>
      </c>
      <c r="J26" s="2" t="n">
        <v>43871</v>
      </c>
      <c r="K26" s="2" t="n">
        <v>43873</v>
      </c>
      <c r="L26" s="2" t="n">
        <v>43872</v>
      </c>
      <c r="M26" s="2" t="n">
        <v>43872</v>
      </c>
      <c r="N26" s="2" t="n">
        <v>43893</v>
      </c>
      <c r="O26" s="1" t="n">
        <v>0</v>
      </c>
      <c r="P26" s="1" t="n">
        <v>33</v>
      </c>
      <c r="Q26" s="1" t="n">
        <v>26.3656030286641</v>
      </c>
      <c r="R26" s="2" t="n">
        <v>43871</v>
      </c>
      <c r="S26" s="3" t="n">
        <v>10.05</v>
      </c>
      <c r="T26" s="3" t="n">
        <v>0.63717</v>
      </c>
      <c r="U26" s="3" t="n">
        <v>0.52662</v>
      </c>
      <c r="V26" s="1" t="n">
        <v>200</v>
      </c>
      <c r="W26" s="2" t="n">
        <v>43871</v>
      </c>
      <c r="X26" s="4" t="n">
        <v>29.9</v>
      </c>
      <c r="Y26" s="1" t="n">
        <v>17.5</v>
      </c>
      <c r="Z26" s="1" t="n">
        <v>13</v>
      </c>
      <c r="AA26" s="1" t="n">
        <v>37</v>
      </c>
      <c r="AB26" s="4" t="n">
        <v>11.6</v>
      </c>
      <c r="AC26" s="4" t="n">
        <v>3.3</v>
      </c>
      <c r="AD26" s="1" t="n">
        <v>93</v>
      </c>
      <c r="AE26" s="1" t="n">
        <v>9.92</v>
      </c>
    </row>
    <row r="27" customFormat="false" ht="13.5" hidden="false" customHeight="false" outlineLevel="0" collapsed="false">
      <c r="A27" s="1" t="s">
        <v>252</v>
      </c>
      <c r="B27" s="1" t="s">
        <v>31</v>
      </c>
      <c r="C27" s="1" t="s">
        <v>252</v>
      </c>
      <c r="D27" s="1" t="s">
        <v>33</v>
      </c>
      <c r="E27" s="1" t="n">
        <v>3</v>
      </c>
      <c r="F27" s="1" t="s">
        <v>248</v>
      </c>
      <c r="G27" s="1" t="s">
        <v>31</v>
      </c>
      <c r="H27" s="1" t="s">
        <v>252</v>
      </c>
      <c r="I27" s="2" t="n">
        <v>43860</v>
      </c>
      <c r="J27" s="2" t="n">
        <v>43867</v>
      </c>
      <c r="K27" s="2" t="n">
        <v>43868</v>
      </c>
      <c r="L27" s="2" t="n">
        <v>43868</v>
      </c>
      <c r="M27" s="2" t="n">
        <v>43868</v>
      </c>
      <c r="N27" s="2" t="n">
        <v>43900</v>
      </c>
      <c r="O27" s="1" t="n">
        <v>0</v>
      </c>
      <c r="P27" s="1" t="n">
        <v>68</v>
      </c>
      <c r="Q27" s="1" t="s">
        <v>33</v>
      </c>
      <c r="R27" s="2" t="n">
        <v>43867</v>
      </c>
      <c r="S27" s="3" t="n">
        <v>7.76</v>
      </c>
      <c r="T27" s="3" t="n">
        <v>0.4</v>
      </c>
      <c r="U27" s="3" t="n">
        <v>0.4</v>
      </c>
      <c r="V27" s="1" t="n">
        <v>151</v>
      </c>
      <c r="W27" s="2" t="n">
        <v>43867</v>
      </c>
      <c r="X27" s="4" t="n">
        <v>1.3</v>
      </c>
      <c r="Y27" s="1" t="n">
        <v>10.1</v>
      </c>
      <c r="Z27" s="1" t="n">
        <v>28</v>
      </c>
      <c r="AA27" s="1" t="n">
        <v>22</v>
      </c>
      <c r="AB27" s="4" t="n">
        <v>11.2</v>
      </c>
      <c r="AC27" s="4" t="n">
        <v>3.9</v>
      </c>
      <c r="AD27" s="1" t="n">
        <v>61</v>
      </c>
      <c r="AE27" s="1" t="n">
        <v>8.29</v>
      </c>
    </row>
    <row r="28" customFormat="false" ht="13.5" hidden="false" customHeight="false" outlineLevel="0" collapsed="false">
      <c r="A28" s="1" t="s">
        <v>253</v>
      </c>
      <c r="B28" s="1" t="s">
        <v>31</v>
      </c>
      <c r="C28" s="1" t="s">
        <v>253</v>
      </c>
      <c r="D28" s="1" t="s">
        <v>33</v>
      </c>
      <c r="E28" s="1" t="n">
        <v>3</v>
      </c>
      <c r="F28" s="1" t="s">
        <v>248</v>
      </c>
      <c r="G28" s="1" t="s">
        <v>31</v>
      </c>
      <c r="H28" s="1" t="s">
        <v>253</v>
      </c>
      <c r="I28" s="2" t="n">
        <v>43875</v>
      </c>
      <c r="J28" s="2" t="n">
        <v>43876</v>
      </c>
      <c r="K28" s="2" t="n">
        <v>43876</v>
      </c>
      <c r="L28" s="2" t="n">
        <v>43878</v>
      </c>
      <c r="M28" s="2" t="n">
        <v>43878</v>
      </c>
      <c r="N28" s="2" t="n">
        <v>43897</v>
      </c>
      <c r="O28" s="1" t="n">
        <v>1</v>
      </c>
      <c r="P28" s="1" t="n">
        <v>77</v>
      </c>
      <c r="Q28" s="1" t="n">
        <v>26.2226847034339</v>
      </c>
      <c r="R28" s="2" t="n">
        <v>43877</v>
      </c>
      <c r="S28" s="3" t="n">
        <v>4.31</v>
      </c>
      <c r="T28" s="3" t="n">
        <v>0.862</v>
      </c>
      <c r="U28" s="3" t="n">
        <v>0.33187</v>
      </c>
      <c r="V28" s="3" t="n">
        <v>161</v>
      </c>
      <c r="W28" s="2" t="n">
        <v>43877</v>
      </c>
      <c r="X28" s="3" t="n">
        <v>27.2</v>
      </c>
      <c r="Y28" s="3" t="n">
        <v>9.5</v>
      </c>
      <c r="Z28" s="3" t="n">
        <v>15</v>
      </c>
      <c r="AA28" s="3" t="n">
        <v>14</v>
      </c>
      <c r="AB28" s="3" t="n">
        <v>9.2</v>
      </c>
      <c r="AC28" s="3" t="n">
        <v>3.8</v>
      </c>
      <c r="AD28" s="3" t="n">
        <v>81</v>
      </c>
      <c r="AE28" s="1" t="n">
        <v>8.01</v>
      </c>
    </row>
    <row r="29" customFormat="false" ht="13.5" hidden="false" customHeight="false" outlineLevel="0" collapsed="false">
      <c r="A29" s="1" t="s">
        <v>254</v>
      </c>
      <c r="B29" s="1" t="s">
        <v>31</v>
      </c>
      <c r="C29" s="1" t="s">
        <v>254</v>
      </c>
      <c r="D29" s="1" t="s">
        <v>33</v>
      </c>
      <c r="E29" s="1" t="n">
        <v>3</v>
      </c>
      <c r="F29" s="1" t="s">
        <v>248</v>
      </c>
      <c r="G29" s="1" t="s">
        <v>31</v>
      </c>
      <c r="H29" s="1" t="s">
        <v>254</v>
      </c>
      <c r="I29" s="2" t="n">
        <v>43856</v>
      </c>
      <c r="J29" s="2" t="n">
        <v>43864</v>
      </c>
      <c r="K29" s="2" t="n">
        <v>43864</v>
      </c>
      <c r="L29" s="2" t="n">
        <v>43865</v>
      </c>
      <c r="M29" s="2" t="n">
        <v>43865</v>
      </c>
      <c r="N29" s="2" t="n">
        <v>43894</v>
      </c>
      <c r="O29" s="1" t="n">
        <v>0</v>
      </c>
      <c r="P29" s="1" t="n">
        <v>44</v>
      </c>
      <c r="Q29" s="1" t="n">
        <v>29.41176471</v>
      </c>
      <c r="R29" s="2" t="n">
        <v>43864</v>
      </c>
      <c r="S29" s="3" t="n">
        <v>5.91</v>
      </c>
      <c r="T29" s="3" t="n">
        <v>1.190274</v>
      </c>
      <c r="U29" s="3" t="n">
        <v>0.622914</v>
      </c>
      <c r="V29" s="1" t="n">
        <v>287</v>
      </c>
      <c r="W29" s="2" t="n">
        <v>43864</v>
      </c>
      <c r="X29" s="4" t="n">
        <v>56.5</v>
      </c>
      <c r="Y29" s="1" t="n">
        <v>28.1</v>
      </c>
      <c r="Z29" s="1" t="n">
        <v>28</v>
      </c>
      <c r="AA29" s="1" t="n">
        <v>37</v>
      </c>
      <c r="AB29" s="4" t="n">
        <v>10.5</v>
      </c>
      <c r="AC29" s="4" t="n">
        <v>4.7</v>
      </c>
      <c r="AD29" s="1" t="n">
        <v>75</v>
      </c>
      <c r="AE29" s="1" t="n">
        <v>9.44</v>
      </c>
    </row>
    <row r="30" customFormat="false" ht="13.5" hidden="false" customHeight="false" outlineLevel="0" collapsed="false">
      <c r="A30" s="1" t="s">
        <v>255</v>
      </c>
      <c r="B30" s="1" t="s">
        <v>31</v>
      </c>
      <c r="C30" s="1" t="s">
        <v>256</v>
      </c>
      <c r="D30" s="1" t="s">
        <v>257</v>
      </c>
      <c r="E30" s="1" t="n">
        <v>2</v>
      </c>
      <c r="F30" s="1" t="s">
        <v>187</v>
      </c>
      <c r="G30" s="1" t="s">
        <v>31</v>
      </c>
      <c r="H30" s="1" t="s">
        <v>258</v>
      </c>
      <c r="I30" s="2" t="n">
        <v>43854</v>
      </c>
      <c r="J30" s="2" t="n">
        <v>43855</v>
      </c>
      <c r="K30" s="1" t="s">
        <v>33</v>
      </c>
      <c r="L30" s="2" t="n">
        <v>43856</v>
      </c>
      <c r="M30" s="2" t="n">
        <v>43866</v>
      </c>
      <c r="N30" s="2" t="n">
        <v>43875</v>
      </c>
      <c r="O30" s="1" t="n">
        <v>1</v>
      </c>
      <c r="P30" s="1" t="n">
        <v>38</v>
      </c>
      <c r="Q30" s="1" t="n">
        <v>28.01022373</v>
      </c>
      <c r="R30" s="2" t="n">
        <v>43856</v>
      </c>
      <c r="S30" s="3" t="n">
        <v>11.7</v>
      </c>
      <c r="T30" s="3" t="n">
        <v>2.6793</v>
      </c>
      <c r="U30" s="3" t="n">
        <v>1.2402</v>
      </c>
      <c r="V30" s="1" t="n">
        <v>181</v>
      </c>
      <c r="W30" s="2" t="n">
        <v>43856</v>
      </c>
      <c r="X30" s="4" t="n">
        <v>17.9</v>
      </c>
      <c r="Y30" s="1" t="n">
        <v>52</v>
      </c>
      <c r="Z30" s="1" t="n">
        <v>37</v>
      </c>
      <c r="AA30" s="1" t="n">
        <v>55</v>
      </c>
      <c r="AB30" s="4" t="n">
        <v>8.2</v>
      </c>
      <c r="AC30" s="4" t="n">
        <v>2.5</v>
      </c>
      <c r="AD30" s="1" t="n">
        <v>80</v>
      </c>
      <c r="AE30" s="1" t="n">
        <v>6.18</v>
      </c>
    </row>
    <row r="31" customFormat="false" ht="13.5" hidden="false" customHeight="false" outlineLevel="0" collapsed="false">
      <c r="A31" s="1" t="s">
        <v>259</v>
      </c>
      <c r="B31" s="1" t="s">
        <v>31</v>
      </c>
      <c r="C31" s="1" t="s">
        <v>260</v>
      </c>
      <c r="D31" s="1" t="s">
        <v>33</v>
      </c>
      <c r="E31" s="1" t="n">
        <v>2</v>
      </c>
      <c r="F31" s="1" t="s">
        <v>187</v>
      </c>
      <c r="G31" s="1" t="s">
        <v>31</v>
      </c>
      <c r="H31" s="1" t="s">
        <v>261</v>
      </c>
      <c r="I31" s="2" t="n">
        <v>43861</v>
      </c>
      <c r="J31" s="2" t="n">
        <v>43863</v>
      </c>
      <c r="K31" s="1" t="s">
        <v>33</v>
      </c>
      <c r="L31" s="2" t="n">
        <v>43864</v>
      </c>
      <c r="M31" s="2" t="n">
        <v>43873</v>
      </c>
      <c r="N31" s="2" t="n">
        <v>43873</v>
      </c>
      <c r="O31" s="1" t="n">
        <v>1</v>
      </c>
      <c r="P31" s="1" t="n">
        <v>36</v>
      </c>
      <c r="Q31" s="1" t="n">
        <v>24.91349481</v>
      </c>
      <c r="R31" s="2" t="n">
        <v>43863</v>
      </c>
      <c r="S31" s="3" t="n">
        <v>4.93</v>
      </c>
      <c r="T31" s="3" t="n">
        <v>1.64169</v>
      </c>
      <c r="U31" s="3" t="n">
        <v>0.49793</v>
      </c>
      <c r="V31" s="1" t="n">
        <v>194</v>
      </c>
      <c r="W31" s="2" t="n">
        <v>43863</v>
      </c>
      <c r="X31" s="4" t="n">
        <v>1.9</v>
      </c>
      <c r="Y31" s="1" t="n">
        <v>48.2</v>
      </c>
      <c r="Z31" s="1" t="n">
        <v>34</v>
      </c>
      <c r="AA31" s="1" t="n">
        <v>59</v>
      </c>
      <c r="AB31" s="4" t="n">
        <v>14.1</v>
      </c>
      <c r="AC31" s="4" t="n">
        <v>4.8</v>
      </c>
      <c r="AD31" s="1" t="n">
        <v>94</v>
      </c>
      <c r="AE31" s="1" t="n">
        <v>5.25</v>
      </c>
    </row>
    <row r="32" customFormat="false" ht="13.5" hidden="false" customHeight="false" outlineLevel="0" collapsed="false">
      <c r="A32" s="1" t="s">
        <v>262</v>
      </c>
      <c r="B32" s="1" t="s">
        <v>31</v>
      </c>
      <c r="C32" s="1" t="s">
        <v>263</v>
      </c>
      <c r="D32" s="1" t="s">
        <v>33</v>
      </c>
      <c r="E32" s="1" t="n">
        <v>2</v>
      </c>
      <c r="F32" s="1" t="s">
        <v>187</v>
      </c>
      <c r="G32" s="1" t="s">
        <v>31</v>
      </c>
      <c r="H32" s="1" t="s">
        <v>264</v>
      </c>
      <c r="I32" s="2" t="n">
        <v>43863</v>
      </c>
      <c r="J32" s="2" t="n">
        <v>43865</v>
      </c>
      <c r="K32" s="1" t="s">
        <v>33</v>
      </c>
      <c r="L32" s="2" t="n">
        <v>43866</v>
      </c>
      <c r="M32" s="2" t="n">
        <v>43866</v>
      </c>
      <c r="N32" s="2" t="n">
        <v>43893</v>
      </c>
      <c r="O32" s="1" t="n">
        <v>1</v>
      </c>
      <c r="P32" s="1" t="n">
        <v>70</v>
      </c>
      <c r="Q32" s="1" t="n">
        <v>25.88057064</v>
      </c>
      <c r="R32" s="2" t="n">
        <v>43865</v>
      </c>
      <c r="S32" s="3" t="n">
        <v>3.43</v>
      </c>
      <c r="T32" s="3" t="n">
        <v>0.721672</v>
      </c>
      <c r="U32" s="3" t="n">
        <v>0.310072</v>
      </c>
      <c r="V32" s="1" t="n">
        <v>205</v>
      </c>
      <c r="W32" s="2" t="n">
        <v>43865</v>
      </c>
      <c r="X32" s="4" t="n">
        <v>89.9</v>
      </c>
      <c r="Y32" s="1" t="n">
        <v>22</v>
      </c>
      <c r="Z32" s="1" t="n">
        <v>30</v>
      </c>
      <c r="AA32" s="1" t="n">
        <v>30</v>
      </c>
      <c r="AB32" s="4" t="n">
        <v>12.3</v>
      </c>
      <c r="AC32" s="4" t="n">
        <v>3.9</v>
      </c>
      <c r="AD32" s="1" t="n">
        <v>93</v>
      </c>
      <c r="AE32" s="1" t="n">
        <v>9.21</v>
      </c>
    </row>
    <row r="33" customFormat="false" ht="13.5" hidden="false" customHeight="false" outlineLevel="0" collapsed="false">
      <c r="A33" s="1" t="s">
        <v>265</v>
      </c>
      <c r="B33" s="1" t="s">
        <v>31</v>
      </c>
      <c r="C33" s="1" t="s">
        <v>266</v>
      </c>
      <c r="D33" s="1" t="s">
        <v>33</v>
      </c>
      <c r="E33" s="1" t="n">
        <v>2</v>
      </c>
      <c r="F33" s="1" t="s">
        <v>187</v>
      </c>
      <c r="G33" s="1" t="s">
        <v>31</v>
      </c>
      <c r="H33" s="1" t="s">
        <v>267</v>
      </c>
      <c r="I33" s="2" t="n">
        <v>43856</v>
      </c>
      <c r="J33" s="2" t="n">
        <v>43862</v>
      </c>
      <c r="K33" s="1" t="s">
        <v>33</v>
      </c>
      <c r="L33" s="2" t="n">
        <v>43863</v>
      </c>
      <c r="M33" s="2" t="n">
        <v>43863</v>
      </c>
      <c r="N33" s="2" t="n">
        <v>43871</v>
      </c>
      <c r="O33" s="1" t="n">
        <v>1</v>
      </c>
      <c r="P33" s="1" t="n">
        <v>33</v>
      </c>
      <c r="Q33" s="1" t="n">
        <v>27.04164413</v>
      </c>
      <c r="R33" s="2" t="n">
        <v>43862</v>
      </c>
      <c r="S33" s="3" t="n">
        <v>3.76</v>
      </c>
      <c r="T33" s="3" t="n">
        <v>1.45888</v>
      </c>
      <c r="U33" s="3" t="n">
        <v>0.22184</v>
      </c>
      <c r="V33" s="1" t="n">
        <v>144</v>
      </c>
      <c r="W33" s="2" t="n">
        <v>43862</v>
      </c>
      <c r="X33" s="4" t="n">
        <v>0.5</v>
      </c>
      <c r="Y33" s="1" t="n">
        <v>27.1</v>
      </c>
      <c r="Z33" s="1" t="n">
        <v>23</v>
      </c>
      <c r="AA33" s="1" t="n">
        <v>23</v>
      </c>
      <c r="AB33" s="4" t="n">
        <v>18.9</v>
      </c>
      <c r="AC33" s="4" t="n">
        <v>6.3</v>
      </c>
      <c r="AD33" s="1" t="n">
        <v>88</v>
      </c>
      <c r="AE33" s="1" t="n">
        <v>5.88</v>
      </c>
    </row>
    <row r="34" customFormat="false" ht="13.5" hidden="false" customHeight="false" outlineLevel="0" collapsed="false">
      <c r="A34" s="1" t="s">
        <v>268</v>
      </c>
      <c r="B34" s="1" t="s">
        <v>31</v>
      </c>
      <c r="C34" s="1" t="s">
        <v>269</v>
      </c>
      <c r="D34" s="1" t="s">
        <v>33</v>
      </c>
      <c r="E34" s="1" t="n">
        <v>2</v>
      </c>
      <c r="F34" s="1" t="s">
        <v>187</v>
      </c>
      <c r="G34" s="1" t="s">
        <v>31</v>
      </c>
      <c r="H34" s="1" t="s">
        <v>270</v>
      </c>
      <c r="I34" s="2" t="n">
        <v>43854</v>
      </c>
      <c r="J34" s="2" t="n">
        <v>43855</v>
      </c>
      <c r="K34" s="1" t="s">
        <v>33</v>
      </c>
      <c r="L34" s="2" t="n">
        <v>43855</v>
      </c>
      <c r="M34" s="2" t="n">
        <v>43855</v>
      </c>
      <c r="N34" s="2" t="n">
        <v>43872</v>
      </c>
      <c r="O34" s="1" t="n">
        <v>1</v>
      </c>
      <c r="P34" s="1" t="n">
        <v>33</v>
      </c>
      <c r="Q34" s="1" t="n">
        <v>25.92592593</v>
      </c>
      <c r="R34" s="2" t="n">
        <v>43855</v>
      </c>
      <c r="S34" s="3" t="n">
        <v>3.17</v>
      </c>
      <c r="T34" s="3" t="n">
        <v>1.1</v>
      </c>
      <c r="U34" s="3" t="n">
        <v>0.4</v>
      </c>
      <c r="V34" s="1" t="n">
        <v>144</v>
      </c>
      <c r="W34" s="2" t="n">
        <v>43856</v>
      </c>
      <c r="X34" s="4" t="n">
        <v>12.46</v>
      </c>
      <c r="Y34" s="1" t="n">
        <v>30</v>
      </c>
      <c r="Z34" s="1" t="n">
        <v>30</v>
      </c>
      <c r="AA34" s="1" t="n">
        <v>29</v>
      </c>
      <c r="AB34" s="4" t="n">
        <v>13.1</v>
      </c>
      <c r="AC34" s="4" t="n">
        <v>5.5</v>
      </c>
      <c r="AD34" s="1" t="n">
        <v>110</v>
      </c>
      <c r="AE34" s="1" t="n">
        <v>5.12</v>
      </c>
    </row>
    <row r="35" customFormat="false" ht="13.5" hidden="false" customHeight="false" outlineLevel="0" collapsed="false">
      <c r="A35" s="1" t="s">
        <v>271</v>
      </c>
      <c r="B35" s="1" t="s">
        <v>31</v>
      </c>
      <c r="C35" s="1" t="s">
        <v>272</v>
      </c>
      <c r="D35" s="1" t="s">
        <v>33</v>
      </c>
      <c r="E35" s="1" t="n">
        <v>2</v>
      </c>
      <c r="F35" s="1" t="s">
        <v>187</v>
      </c>
      <c r="G35" s="1" t="s">
        <v>31</v>
      </c>
      <c r="H35" s="1" t="s">
        <v>273</v>
      </c>
      <c r="I35" s="2" t="n">
        <v>43851</v>
      </c>
      <c r="J35" s="2" t="n">
        <v>43853</v>
      </c>
      <c r="K35" s="1" t="s">
        <v>33</v>
      </c>
      <c r="L35" s="2" t="n">
        <v>43853</v>
      </c>
      <c r="M35" s="2" t="n">
        <v>43858</v>
      </c>
      <c r="N35" s="2" t="n">
        <v>43875</v>
      </c>
      <c r="O35" s="1" t="n">
        <v>0</v>
      </c>
      <c r="P35" s="1" t="n">
        <v>45</v>
      </c>
      <c r="Q35" s="1" t="n">
        <v>23.23345618</v>
      </c>
      <c r="R35" s="2" t="n">
        <v>43853</v>
      </c>
      <c r="S35" s="3" t="n">
        <v>5.09</v>
      </c>
      <c r="T35" s="3" t="n">
        <v>1.4</v>
      </c>
      <c r="U35" s="3" t="n">
        <v>0.6</v>
      </c>
      <c r="V35" s="1" t="n">
        <v>221</v>
      </c>
      <c r="W35" s="2" t="n">
        <v>43854</v>
      </c>
      <c r="X35" s="4" t="n">
        <v>4</v>
      </c>
      <c r="Y35" s="1" t="n">
        <v>10</v>
      </c>
      <c r="Z35" s="1" t="n">
        <v>19</v>
      </c>
      <c r="AA35" s="1" t="n">
        <v>13</v>
      </c>
      <c r="AB35" s="4" t="n">
        <v>6</v>
      </c>
      <c r="AC35" s="4" t="n">
        <v>2.5</v>
      </c>
      <c r="AD35" s="1" t="n">
        <v>61</v>
      </c>
      <c r="AE35" s="1" t="n">
        <v>4.61</v>
      </c>
    </row>
    <row r="36" customFormat="false" ht="13.5" hidden="false" customHeight="false" outlineLevel="0" collapsed="false">
      <c r="A36" s="1" t="s">
        <v>274</v>
      </c>
      <c r="B36" s="1" t="s">
        <v>31</v>
      </c>
      <c r="C36" s="1" t="s">
        <v>275</v>
      </c>
      <c r="D36" s="1" t="s">
        <v>276</v>
      </c>
      <c r="E36" s="1" t="n">
        <v>2</v>
      </c>
      <c r="F36" s="1" t="s">
        <v>187</v>
      </c>
      <c r="G36" s="1" t="s">
        <v>31</v>
      </c>
      <c r="H36" s="1" t="s">
        <v>277</v>
      </c>
      <c r="I36" s="2" t="n">
        <v>43856</v>
      </c>
      <c r="J36" s="2" t="n">
        <v>43860</v>
      </c>
      <c r="K36" s="1" t="s">
        <v>33</v>
      </c>
      <c r="L36" s="2" t="n">
        <v>43861</v>
      </c>
      <c r="M36" s="2" t="n">
        <v>43868</v>
      </c>
      <c r="N36" s="2" t="n">
        <v>43876</v>
      </c>
      <c r="O36" s="1" t="n">
        <v>0</v>
      </c>
      <c r="P36" s="1" t="n">
        <v>46</v>
      </c>
      <c r="Q36" s="1" t="n">
        <v>25.68211703</v>
      </c>
      <c r="R36" s="2" t="n">
        <v>43860</v>
      </c>
      <c r="S36" s="3" t="n">
        <v>5.24</v>
      </c>
      <c r="T36" s="3" t="n">
        <v>2.171456</v>
      </c>
      <c r="U36" s="3" t="n">
        <v>0.353176</v>
      </c>
      <c r="V36" s="1" t="n">
        <v>205</v>
      </c>
      <c r="W36" s="2" t="n">
        <v>43860</v>
      </c>
      <c r="X36" s="4" t="n">
        <v>5.2</v>
      </c>
      <c r="Y36" s="1" t="n">
        <v>16</v>
      </c>
      <c r="Z36" s="1" t="n">
        <v>19</v>
      </c>
      <c r="AA36" s="1" t="n">
        <v>21</v>
      </c>
      <c r="AB36" s="4" t="n">
        <v>5.9</v>
      </c>
      <c r="AC36" s="4" t="n">
        <v>2.1</v>
      </c>
      <c r="AD36" s="1" t="n">
        <v>55</v>
      </c>
      <c r="AE36" s="1" t="n">
        <v>7.21</v>
      </c>
    </row>
    <row r="37" customFormat="false" ht="13.5" hidden="false" customHeight="false" outlineLevel="0" collapsed="false">
      <c r="A37" s="1" t="s">
        <v>278</v>
      </c>
      <c r="B37" s="1" t="s">
        <v>31</v>
      </c>
      <c r="C37" s="1" t="s">
        <v>279</v>
      </c>
      <c r="D37" s="1" t="s">
        <v>33</v>
      </c>
      <c r="E37" s="1" t="n">
        <v>2</v>
      </c>
      <c r="F37" s="1" t="s">
        <v>187</v>
      </c>
      <c r="G37" s="1" t="s">
        <v>31</v>
      </c>
      <c r="H37" s="1" t="s">
        <v>280</v>
      </c>
      <c r="I37" s="2" t="n">
        <v>43854</v>
      </c>
      <c r="J37" s="2" t="n">
        <v>43859</v>
      </c>
      <c r="K37" s="1" t="s">
        <v>33</v>
      </c>
      <c r="L37" s="2" t="n">
        <v>43860</v>
      </c>
      <c r="M37" s="2" t="n">
        <v>43868</v>
      </c>
      <c r="N37" s="2" t="n">
        <v>43869</v>
      </c>
      <c r="O37" s="1" t="n">
        <v>1</v>
      </c>
      <c r="P37" s="1" t="n">
        <v>21</v>
      </c>
      <c r="Q37" s="1" t="n">
        <v>30.44982699</v>
      </c>
      <c r="R37" s="2" t="n">
        <v>43859</v>
      </c>
      <c r="S37" s="3" t="n">
        <v>7.14</v>
      </c>
      <c r="T37" s="3" t="n">
        <v>1.179528</v>
      </c>
      <c r="U37" s="3" t="n">
        <v>0.39984</v>
      </c>
      <c r="V37" s="1" t="n">
        <v>211</v>
      </c>
      <c r="W37" s="2" t="n">
        <v>43859</v>
      </c>
      <c r="X37" s="4" t="n">
        <v>7.37</v>
      </c>
      <c r="Y37" s="1" t="n">
        <v>37.3</v>
      </c>
      <c r="Z37" s="1" t="n">
        <v>21</v>
      </c>
      <c r="AA37" s="1" t="n">
        <v>48</v>
      </c>
      <c r="AB37" s="4" t="n">
        <v>14.7</v>
      </c>
      <c r="AC37" s="4" t="n">
        <v>5.7</v>
      </c>
      <c r="AD37" s="1" t="n">
        <v>88</v>
      </c>
      <c r="AE37" s="1" t="n">
        <v>8.12</v>
      </c>
    </row>
    <row r="38" customFormat="false" ht="13.5" hidden="false" customHeight="false" outlineLevel="0" collapsed="false">
      <c r="A38" s="1" t="s">
        <v>281</v>
      </c>
      <c r="B38" s="1" t="s">
        <v>31</v>
      </c>
      <c r="C38" s="1" t="s">
        <v>282</v>
      </c>
      <c r="D38" s="1" t="s">
        <v>33</v>
      </c>
      <c r="E38" s="1" t="n">
        <v>2</v>
      </c>
      <c r="F38" s="1" t="s">
        <v>187</v>
      </c>
      <c r="G38" s="1" t="s">
        <v>31</v>
      </c>
      <c r="H38" s="1" t="s">
        <v>283</v>
      </c>
      <c r="I38" s="2" t="n">
        <v>43861</v>
      </c>
      <c r="J38" s="2" t="n">
        <v>43864</v>
      </c>
      <c r="K38" s="1" t="s">
        <v>33</v>
      </c>
      <c r="L38" s="2" t="n">
        <v>43866</v>
      </c>
      <c r="M38" s="2" t="n">
        <v>43867</v>
      </c>
      <c r="N38" s="2" t="n">
        <v>43893</v>
      </c>
      <c r="O38" s="1" t="n">
        <v>1</v>
      </c>
      <c r="P38" s="1" t="n">
        <v>63</v>
      </c>
      <c r="Q38" s="1" t="n">
        <v>19.15708812</v>
      </c>
      <c r="R38" s="2" t="n">
        <v>43864</v>
      </c>
      <c r="S38" s="3" t="n">
        <v>3.86</v>
      </c>
      <c r="T38" s="3" t="n">
        <v>0.86078</v>
      </c>
      <c r="U38" s="3" t="n">
        <v>0.780106</v>
      </c>
      <c r="V38" s="1" t="n">
        <v>145</v>
      </c>
      <c r="W38" s="2" t="n">
        <v>43864</v>
      </c>
      <c r="X38" s="4" t="n">
        <v>4.8</v>
      </c>
      <c r="Y38" s="1" t="n">
        <v>20</v>
      </c>
      <c r="Z38" s="1" t="n">
        <v>28</v>
      </c>
      <c r="AA38" s="1" t="n">
        <v>16</v>
      </c>
      <c r="AB38" s="4" t="n">
        <v>15.3</v>
      </c>
      <c r="AC38" s="4" t="n">
        <v>6.4</v>
      </c>
      <c r="AD38" s="1" t="n">
        <v>84</v>
      </c>
      <c r="AE38" s="1" t="n">
        <v>5.26</v>
      </c>
    </row>
    <row r="39" customFormat="false" ht="13.5" hidden="false" customHeight="false" outlineLevel="0" collapsed="false">
      <c r="A39" s="1" t="s">
        <v>284</v>
      </c>
      <c r="B39" s="1" t="s">
        <v>31</v>
      </c>
      <c r="C39" s="1" t="s">
        <v>285</v>
      </c>
      <c r="D39" s="1" t="s">
        <v>33</v>
      </c>
      <c r="E39" s="1" t="n">
        <v>2</v>
      </c>
      <c r="F39" s="1" t="s">
        <v>187</v>
      </c>
      <c r="G39" s="1" t="s">
        <v>31</v>
      </c>
      <c r="H39" s="1" t="s">
        <v>286</v>
      </c>
      <c r="I39" s="2" t="n">
        <v>43858</v>
      </c>
      <c r="J39" s="2" t="n">
        <v>43861</v>
      </c>
      <c r="K39" s="1" t="s">
        <v>33</v>
      </c>
      <c r="L39" s="2" t="n">
        <v>43862</v>
      </c>
      <c r="M39" s="2" t="n">
        <v>43862</v>
      </c>
      <c r="N39" s="2" t="n">
        <v>43868</v>
      </c>
      <c r="O39" s="1" t="n">
        <v>1</v>
      </c>
      <c r="P39" s="1" t="n">
        <v>27</v>
      </c>
      <c r="Q39" s="1" t="n">
        <v>22.49134948</v>
      </c>
      <c r="R39" s="2" t="n">
        <v>43861</v>
      </c>
      <c r="S39" s="3" t="n">
        <v>6.56</v>
      </c>
      <c r="T39" s="3" t="n">
        <v>1.33824</v>
      </c>
      <c r="U39" s="3" t="n">
        <v>0.43296</v>
      </c>
      <c r="V39" s="1" t="n">
        <v>199</v>
      </c>
      <c r="W39" s="2" t="n">
        <v>43861</v>
      </c>
      <c r="X39" s="4" t="n">
        <v>41.4</v>
      </c>
      <c r="Y39" s="1" t="n">
        <v>16.2</v>
      </c>
      <c r="Z39" s="1" t="n">
        <v>18</v>
      </c>
      <c r="AA39" s="1" t="n">
        <v>20</v>
      </c>
      <c r="AB39" s="4" t="n">
        <v>23</v>
      </c>
      <c r="AC39" s="4" t="n">
        <v>8.5</v>
      </c>
      <c r="AD39" s="1" t="n">
        <v>77</v>
      </c>
      <c r="AE39" s="1" t="n">
        <v>6.14</v>
      </c>
    </row>
    <row r="40" customFormat="false" ht="13.5" hidden="false" customHeight="false" outlineLevel="0" collapsed="false">
      <c r="A40" s="1" t="s">
        <v>287</v>
      </c>
      <c r="B40" s="1" t="s">
        <v>31</v>
      </c>
      <c r="C40" s="1" t="s">
        <v>288</v>
      </c>
      <c r="D40" s="1" t="s">
        <v>33</v>
      </c>
      <c r="E40" s="1" t="n">
        <v>2</v>
      </c>
      <c r="F40" s="1" t="s">
        <v>187</v>
      </c>
      <c r="G40" s="1" t="s">
        <v>31</v>
      </c>
      <c r="H40" s="1" t="s">
        <v>289</v>
      </c>
      <c r="I40" s="2" t="n">
        <v>43854</v>
      </c>
      <c r="J40" s="2" t="n">
        <v>43855</v>
      </c>
      <c r="K40" s="1" t="s">
        <v>33</v>
      </c>
      <c r="L40" s="2" t="n">
        <v>43855</v>
      </c>
      <c r="M40" s="2" t="n">
        <v>43859</v>
      </c>
      <c r="N40" s="2" t="n">
        <v>43884</v>
      </c>
      <c r="O40" s="1" t="n">
        <v>0</v>
      </c>
      <c r="P40" s="1" t="n">
        <v>34</v>
      </c>
      <c r="Q40" s="1" t="n">
        <v>26.66666667</v>
      </c>
      <c r="R40" s="2" t="n">
        <v>43855</v>
      </c>
      <c r="S40" s="3" t="n">
        <v>5.21</v>
      </c>
      <c r="T40" s="3" t="n">
        <v>0.9576</v>
      </c>
      <c r="U40" s="3" t="n">
        <v>0.4452</v>
      </c>
      <c r="V40" s="1" t="n">
        <v>197</v>
      </c>
      <c r="W40" s="2" t="n">
        <v>43856</v>
      </c>
      <c r="X40" s="4" t="n">
        <v>4.33</v>
      </c>
      <c r="Y40" s="1" t="n">
        <v>20</v>
      </c>
      <c r="Z40" s="1" t="n">
        <v>24</v>
      </c>
      <c r="AA40" s="1" t="n">
        <v>26</v>
      </c>
      <c r="AB40" s="4" t="n">
        <v>6.8</v>
      </c>
      <c r="AC40" s="4" t="n">
        <v>2.4</v>
      </c>
      <c r="AD40" s="1" t="n">
        <v>66</v>
      </c>
      <c r="AE40" s="1" t="n">
        <v>5.05</v>
      </c>
    </row>
    <row r="41" customFormat="false" ht="13.5" hidden="false" customHeight="false" outlineLevel="0" collapsed="false">
      <c r="A41" s="1" t="s">
        <v>290</v>
      </c>
      <c r="B41" s="1" t="s">
        <v>54</v>
      </c>
      <c r="C41" s="1" t="s">
        <v>33</v>
      </c>
      <c r="D41" s="1" t="s">
        <v>33</v>
      </c>
      <c r="E41" s="1" t="n">
        <v>2</v>
      </c>
      <c r="F41" s="1" t="s">
        <v>33</v>
      </c>
      <c r="G41" s="1" t="s">
        <v>31</v>
      </c>
      <c r="H41" s="1" t="s">
        <v>291</v>
      </c>
      <c r="I41" s="2" t="n">
        <v>43856</v>
      </c>
      <c r="J41" s="2" t="n">
        <v>43861</v>
      </c>
      <c r="K41" s="1" t="s">
        <v>33</v>
      </c>
      <c r="L41" s="2" t="n">
        <v>43861</v>
      </c>
      <c r="M41" s="2" t="s">
        <v>33</v>
      </c>
      <c r="N41" s="2" t="n">
        <v>43890</v>
      </c>
      <c r="O41" s="1" t="n">
        <v>0</v>
      </c>
      <c r="P41" s="1" t="n">
        <v>54</v>
      </c>
      <c r="Q41" s="1" t="n">
        <v>26.43807082</v>
      </c>
      <c r="R41" s="2" t="n">
        <v>43861</v>
      </c>
      <c r="S41" s="3" t="n">
        <v>4.83</v>
      </c>
      <c r="T41" s="3" t="n">
        <v>1.86921</v>
      </c>
      <c r="U41" s="3" t="n">
        <v>0.18837</v>
      </c>
      <c r="V41" s="1" t="n">
        <v>181</v>
      </c>
      <c r="W41" s="2" t="n">
        <v>43861</v>
      </c>
      <c r="X41" s="4" t="n">
        <v>2.4</v>
      </c>
      <c r="Y41" s="1" t="n">
        <v>21</v>
      </c>
      <c r="Z41" s="1" t="n">
        <v>22</v>
      </c>
      <c r="AA41" s="1" t="n">
        <v>16</v>
      </c>
      <c r="AB41" s="4" t="n">
        <v>6.2</v>
      </c>
      <c r="AC41" s="4" t="n">
        <v>2.1</v>
      </c>
      <c r="AD41" s="1" t="n">
        <v>60</v>
      </c>
      <c r="AE41" s="1" t="n">
        <v>6.2</v>
      </c>
    </row>
    <row r="42" customFormat="false" ht="13.5" hidden="false" customHeight="false" outlineLevel="0" collapsed="false">
      <c r="A42" s="1" t="s">
        <v>292</v>
      </c>
      <c r="B42" s="1" t="s">
        <v>31</v>
      </c>
      <c r="C42" s="1" t="s">
        <v>293</v>
      </c>
      <c r="D42" s="1" t="s">
        <v>33</v>
      </c>
      <c r="E42" s="1" t="n">
        <v>2</v>
      </c>
      <c r="F42" s="1" t="s">
        <v>187</v>
      </c>
      <c r="G42" s="1" t="s">
        <v>31</v>
      </c>
      <c r="H42" s="1" t="s">
        <v>294</v>
      </c>
      <c r="I42" s="2" t="n">
        <v>43853</v>
      </c>
      <c r="J42" s="2" t="n">
        <v>43854</v>
      </c>
      <c r="K42" s="1" t="s">
        <v>33</v>
      </c>
      <c r="L42" s="2" t="n">
        <v>43855</v>
      </c>
      <c r="M42" s="2" t="n">
        <v>43868</v>
      </c>
      <c r="N42" s="2" t="n">
        <v>43868</v>
      </c>
      <c r="O42" s="1" t="n">
        <v>1</v>
      </c>
      <c r="P42" s="1" t="n">
        <v>31</v>
      </c>
      <c r="Q42" s="1" t="n">
        <v>23.1206236</v>
      </c>
      <c r="R42" s="2" t="n">
        <v>43854</v>
      </c>
      <c r="S42" s="3" t="n">
        <v>5.71</v>
      </c>
      <c r="T42" s="3" t="n">
        <v>1.3</v>
      </c>
      <c r="U42" s="3" t="n">
        <v>0.8</v>
      </c>
      <c r="V42" s="1" t="n">
        <v>213</v>
      </c>
      <c r="W42" s="2" t="n">
        <v>43855</v>
      </c>
      <c r="X42" s="4" t="n">
        <v>1.53</v>
      </c>
      <c r="Y42" s="1" t="n">
        <v>22</v>
      </c>
      <c r="Z42" s="1" t="n">
        <v>24</v>
      </c>
      <c r="AA42" s="1" t="n">
        <v>19</v>
      </c>
      <c r="AB42" s="4" t="n">
        <v>11.2</v>
      </c>
      <c r="AC42" s="4" t="n">
        <v>4.6</v>
      </c>
      <c r="AD42" s="1" t="n">
        <v>94</v>
      </c>
      <c r="AE42" s="1" t="n">
        <v>4.96</v>
      </c>
    </row>
    <row r="43" customFormat="false" ht="13.5" hidden="false" customHeight="false" outlineLevel="0" collapsed="false">
      <c r="A43" s="1" t="s">
        <v>295</v>
      </c>
      <c r="B43" s="1" t="s">
        <v>31</v>
      </c>
      <c r="C43" s="1" t="s">
        <v>296</v>
      </c>
      <c r="D43" s="1" t="s">
        <v>33</v>
      </c>
      <c r="E43" s="1" t="n">
        <v>2</v>
      </c>
      <c r="F43" s="1" t="s">
        <v>187</v>
      </c>
      <c r="G43" s="1" t="s">
        <v>31</v>
      </c>
      <c r="H43" s="1" t="s">
        <v>297</v>
      </c>
      <c r="I43" s="2" t="n">
        <v>43852</v>
      </c>
      <c r="J43" s="2" t="n">
        <v>43855</v>
      </c>
      <c r="K43" s="1" t="s">
        <v>33</v>
      </c>
      <c r="L43" s="2" t="n">
        <v>43856</v>
      </c>
      <c r="M43" s="2" t="n">
        <v>43867</v>
      </c>
      <c r="N43" s="2" t="n">
        <v>43879</v>
      </c>
      <c r="O43" s="1" t="n">
        <v>0</v>
      </c>
      <c r="P43" s="1" t="n">
        <v>37</v>
      </c>
      <c r="Q43" s="1" t="n">
        <v>21.484375</v>
      </c>
      <c r="R43" s="2" t="n">
        <v>43855</v>
      </c>
      <c r="S43" s="3" t="n">
        <v>4.18</v>
      </c>
      <c r="T43" s="3" t="n">
        <v>2.1</v>
      </c>
      <c r="U43" s="3" t="n">
        <v>0.3</v>
      </c>
      <c r="V43" s="1" t="n">
        <v>217</v>
      </c>
      <c r="W43" s="2" t="n">
        <v>43855</v>
      </c>
      <c r="X43" s="4" t="n">
        <v>2.44</v>
      </c>
      <c r="Y43" s="1" t="n">
        <v>17</v>
      </c>
      <c r="Z43" s="1" t="n">
        <v>20</v>
      </c>
      <c r="AA43" s="1" t="n">
        <v>18</v>
      </c>
      <c r="AB43" s="4" t="n">
        <v>6.9</v>
      </c>
      <c r="AC43" s="4" t="n">
        <v>2.8</v>
      </c>
      <c r="AD43" s="1" t="n">
        <v>62</v>
      </c>
      <c r="AE43" s="1" t="n">
        <v>4.76</v>
      </c>
    </row>
    <row r="44" customFormat="false" ht="13.5" hidden="false" customHeight="false" outlineLevel="0" collapsed="false">
      <c r="A44" s="1" t="s">
        <v>298</v>
      </c>
      <c r="B44" s="1" t="s">
        <v>31</v>
      </c>
      <c r="C44" s="1" t="s">
        <v>299</v>
      </c>
      <c r="D44" s="1" t="s">
        <v>33</v>
      </c>
      <c r="E44" s="1" t="n">
        <v>2</v>
      </c>
      <c r="F44" s="1" t="s">
        <v>187</v>
      </c>
      <c r="G44" s="1" t="s">
        <v>31</v>
      </c>
      <c r="H44" s="1" t="s">
        <v>300</v>
      </c>
      <c r="I44" s="2" t="n">
        <v>43858</v>
      </c>
      <c r="J44" s="2" t="n">
        <v>43859</v>
      </c>
      <c r="K44" s="1" t="s">
        <v>33</v>
      </c>
      <c r="L44" s="2" t="n">
        <v>43859</v>
      </c>
      <c r="M44" s="2" t="n">
        <v>43862</v>
      </c>
      <c r="N44" s="2" t="n">
        <v>43883</v>
      </c>
      <c r="O44" s="1" t="n">
        <v>1</v>
      </c>
      <c r="P44" s="1" t="n">
        <v>59</v>
      </c>
      <c r="Q44" s="1" t="n">
        <v>20.2812331</v>
      </c>
      <c r="R44" s="2" t="n">
        <v>43859</v>
      </c>
      <c r="S44" s="3" t="n">
        <v>7</v>
      </c>
      <c r="T44" s="3" t="n">
        <v>1.253</v>
      </c>
      <c r="U44" s="3" t="n">
        <v>0.77</v>
      </c>
      <c r="V44" s="1" t="n">
        <v>198</v>
      </c>
      <c r="W44" s="2" t="n">
        <v>43859</v>
      </c>
      <c r="X44" s="4" t="n">
        <v>17.3</v>
      </c>
      <c r="Y44" s="1" t="n">
        <v>21</v>
      </c>
      <c r="Z44" s="1" t="n">
        <v>33</v>
      </c>
      <c r="AA44" s="1" t="n">
        <v>40</v>
      </c>
      <c r="AB44" s="4" t="n">
        <v>9.6</v>
      </c>
      <c r="AC44" s="4" t="n">
        <v>2.9</v>
      </c>
      <c r="AD44" s="1" t="n">
        <v>110</v>
      </c>
      <c r="AE44" s="1" t="n">
        <v>4.87</v>
      </c>
    </row>
    <row r="45" customFormat="false" ht="13.5" hidden="false" customHeight="false" outlineLevel="0" collapsed="false">
      <c r="A45" s="1" t="s">
        <v>301</v>
      </c>
      <c r="B45" s="1" t="s">
        <v>31</v>
      </c>
      <c r="C45" s="1" t="s">
        <v>302</v>
      </c>
      <c r="D45" s="1" t="s">
        <v>33</v>
      </c>
      <c r="E45" s="1" t="n">
        <v>2</v>
      </c>
      <c r="F45" s="1" t="s">
        <v>187</v>
      </c>
      <c r="G45" s="1" t="s">
        <v>31</v>
      </c>
      <c r="H45" s="1" t="s">
        <v>303</v>
      </c>
      <c r="I45" s="2" t="n">
        <v>43858</v>
      </c>
      <c r="J45" s="2" t="n">
        <v>43862</v>
      </c>
      <c r="K45" s="1" t="s">
        <v>33</v>
      </c>
      <c r="L45" s="2" t="n">
        <v>43863</v>
      </c>
      <c r="M45" s="2" t="n">
        <v>43863</v>
      </c>
      <c r="N45" s="2" t="n">
        <v>43874</v>
      </c>
      <c r="O45" s="1" t="n">
        <v>1</v>
      </c>
      <c r="P45" s="1" t="n">
        <v>39</v>
      </c>
      <c r="Q45" s="1" t="n">
        <v>24.22145329</v>
      </c>
      <c r="R45" s="2" t="n">
        <v>43862</v>
      </c>
      <c r="S45" s="3" t="n">
        <v>3.01</v>
      </c>
      <c r="T45" s="3" t="n">
        <v>0.750694</v>
      </c>
      <c r="U45" s="3" t="n">
        <v>0.362404</v>
      </c>
      <c r="V45" s="1" t="n">
        <v>76</v>
      </c>
      <c r="W45" s="2" t="n">
        <v>43862</v>
      </c>
      <c r="X45" s="4" t="n">
        <v>9.7</v>
      </c>
      <c r="Y45" s="1" t="n">
        <v>17.7</v>
      </c>
      <c r="Z45" s="1" t="n">
        <v>30</v>
      </c>
      <c r="AA45" s="1" t="n">
        <v>13</v>
      </c>
      <c r="AB45" s="4" t="n">
        <v>31.4</v>
      </c>
      <c r="AC45" s="4" t="n">
        <v>13.8</v>
      </c>
      <c r="AD45" s="1" t="n">
        <v>84</v>
      </c>
      <c r="AE45" s="1" t="n">
        <v>5.5</v>
      </c>
    </row>
    <row r="46" customFormat="false" ht="13.5" hidden="false" customHeight="false" outlineLevel="0" collapsed="false">
      <c r="A46" s="1" t="s">
        <v>304</v>
      </c>
      <c r="B46" s="1" t="s">
        <v>31</v>
      </c>
      <c r="C46" s="1" t="s">
        <v>305</v>
      </c>
      <c r="D46" s="1" t="s">
        <v>33</v>
      </c>
      <c r="E46" s="1" t="n">
        <v>2</v>
      </c>
      <c r="F46" s="1" t="s">
        <v>187</v>
      </c>
      <c r="G46" s="1" t="s">
        <v>31</v>
      </c>
      <c r="H46" s="1" t="s">
        <v>306</v>
      </c>
      <c r="I46" s="2" t="n">
        <v>43851</v>
      </c>
      <c r="J46" s="2" t="n">
        <v>43853</v>
      </c>
      <c r="K46" s="1" t="s">
        <v>33</v>
      </c>
      <c r="L46" s="2" t="n">
        <v>43853</v>
      </c>
      <c r="M46" s="2" t="n">
        <v>43863</v>
      </c>
      <c r="N46" s="2" t="n">
        <v>43863</v>
      </c>
      <c r="O46" s="1" t="n">
        <v>1</v>
      </c>
      <c r="P46" s="1" t="n">
        <v>32</v>
      </c>
      <c r="Q46" s="1" t="n">
        <v>30.11621315</v>
      </c>
      <c r="R46" s="2" t="n">
        <v>43854</v>
      </c>
      <c r="S46" s="3" t="n">
        <v>5.6</v>
      </c>
      <c r="T46" s="3" t="n">
        <v>1.9488</v>
      </c>
      <c r="U46" s="3" t="n">
        <v>0.644</v>
      </c>
      <c r="V46" s="1" t="n">
        <v>228</v>
      </c>
      <c r="W46" s="2" t="n">
        <v>43854</v>
      </c>
      <c r="X46" s="4" t="n">
        <v>2.3</v>
      </c>
      <c r="Y46" s="1" t="n">
        <v>35</v>
      </c>
      <c r="Z46" s="1" t="n">
        <v>29</v>
      </c>
      <c r="AA46" s="1" t="n">
        <v>44</v>
      </c>
      <c r="AB46" s="4" t="n">
        <v>12.1</v>
      </c>
      <c r="AC46" s="4" t="n">
        <v>4</v>
      </c>
      <c r="AD46" s="1" t="n">
        <v>82</v>
      </c>
      <c r="AE46" s="1" t="n">
        <v>4.9</v>
      </c>
    </row>
    <row r="47" customFormat="false" ht="13.5" hidden="false" customHeight="false" outlineLevel="0" collapsed="false">
      <c r="A47" s="1" t="s">
        <v>307</v>
      </c>
      <c r="B47" s="1" t="s">
        <v>31</v>
      </c>
      <c r="C47" s="1" t="s">
        <v>308</v>
      </c>
      <c r="D47" s="1" t="s">
        <v>33</v>
      </c>
      <c r="E47" s="1" t="n">
        <v>2</v>
      </c>
      <c r="F47" s="1" t="s">
        <v>187</v>
      </c>
      <c r="G47" s="1" t="s">
        <v>31</v>
      </c>
      <c r="H47" s="1" t="s">
        <v>309</v>
      </c>
      <c r="I47" s="2" t="n">
        <v>43858</v>
      </c>
      <c r="J47" s="2" t="n">
        <v>43859</v>
      </c>
      <c r="K47" s="1" t="s">
        <v>33</v>
      </c>
      <c r="L47" s="2" t="n">
        <v>43868</v>
      </c>
      <c r="M47" s="2" t="n">
        <v>43859</v>
      </c>
      <c r="N47" s="2" t="n">
        <v>43871</v>
      </c>
      <c r="O47" s="1" t="n">
        <v>1</v>
      </c>
      <c r="P47" s="1" t="n">
        <v>20</v>
      </c>
      <c r="Q47" s="1" t="n">
        <v>18.9370029</v>
      </c>
      <c r="R47" s="2" t="n">
        <v>43859</v>
      </c>
      <c r="S47" s="3" t="n">
        <v>6.15</v>
      </c>
      <c r="T47" s="3" t="n">
        <v>1.6</v>
      </c>
      <c r="U47" s="3" t="n">
        <v>0.3</v>
      </c>
      <c r="V47" s="1" t="n">
        <v>202</v>
      </c>
      <c r="W47" s="2" t="n">
        <v>43859</v>
      </c>
      <c r="X47" s="4" t="n">
        <v>15.4</v>
      </c>
      <c r="Y47" s="1" t="n">
        <v>31</v>
      </c>
      <c r="Z47" s="1" t="n">
        <v>28</v>
      </c>
      <c r="AA47" s="1" t="n">
        <v>21</v>
      </c>
      <c r="AB47" s="4" t="n">
        <v>6.8</v>
      </c>
      <c r="AC47" s="4" t="n">
        <v>1.8</v>
      </c>
      <c r="AD47" s="1" t="n">
        <v>92</v>
      </c>
      <c r="AE47" s="1" t="n">
        <v>6.79</v>
      </c>
    </row>
    <row r="48" customFormat="false" ht="13.5" hidden="false" customHeight="false" outlineLevel="0" collapsed="false">
      <c r="A48" s="1" t="s">
        <v>310</v>
      </c>
      <c r="B48" s="1" t="s">
        <v>31</v>
      </c>
      <c r="C48" s="1" t="s">
        <v>311</v>
      </c>
      <c r="D48" s="1" t="s">
        <v>33</v>
      </c>
      <c r="E48" s="1" t="n">
        <v>2</v>
      </c>
      <c r="F48" s="1" t="s">
        <v>187</v>
      </c>
      <c r="G48" s="1" t="s">
        <v>31</v>
      </c>
      <c r="H48" s="1" t="s">
        <v>312</v>
      </c>
      <c r="I48" s="2" t="n">
        <v>43855</v>
      </c>
      <c r="J48" s="2" t="n">
        <v>43855</v>
      </c>
      <c r="K48" s="1" t="s">
        <v>33</v>
      </c>
      <c r="L48" s="2" t="n">
        <v>43855</v>
      </c>
      <c r="M48" s="2" t="n">
        <v>43855</v>
      </c>
      <c r="N48" s="2" t="n">
        <v>43879</v>
      </c>
      <c r="O48" s="1" t="n">
        <v>1</v>
      </c>
      <c r="P48" s="1" t="n">
        <v>46</v>
      </c>
      <c r="Q48" s="1" t="n">
        <v>26.7299275</v>
      </c>
      <c r="R48" s="2" t="n">
        <v>43855</v>
      </c>
      <c r="S48" s="3" t="n">
        <v>5.62</v>
      </c>
      <c r="T48" s="3" t="n">
        <v>1</v>
      </c>
      <c r="U48" s="3" t="n">
        <v>0.4</v>
      </c>
      <c r="V48" s="1" t="n">
        <v>179</v>
      </c>
      <c r="W48" s="2" t="n">
        <v>43856</v>
      </c>
      <c r="X48" s="4" t="n">
        <v>6.85</v>
      </c>
      <c r="Y48" s="1" t="n">
        <v>30</v>
      </c>
      <c r="Z48" s="1" t="n">
        <v>27</v>
      </c>
      <c r="AA48" s="1" t="n">
        <v>68</v>
      </c>
      <c r="AB48" s="4" t="n">
        <v>10.4</v>
      </c>
      <c r="AC48" s="4" t="n">
        <v>2.8</v>
      </c>
      <c r="AD48" s="1" t="n">
        <v>100</v>
      </c>
      <c r="AE48" s="1" t="n">
        <v>9.91</v>
      </c>
    </row>
    <row r="49" customFormat="false" ht="13.5" hidden="false" customHeight="false" outlineLevel="0" collapsed="false">
      <c r="A49" s="1" t="s">
        <v>313</v>
      </c>
      <c r="B49" s="1" t="s">
        <v>31</v>
      </c>
      <c r="C49" s="1" t="s">
        <v>314</v>
      </c>
      <c r="D49" s="1" t="s">
        <v>33</v>
      </c>
      <c r="E49" s="1" t="n">
        <v>2</v>
      </c>
      <c r="F49" s="1" t="s">
        <v>236</v>
      </c>
      <c r="G49" s="1" t="s">
        <v>31</v>
      </c>
      <c r="H49" s="1" t="s">
        <v>315</v>
      </c>
      <c r="I49" s="2" t="n">
        <v>43858</v>
      </c>
      <c r="J49" s="2" t="n">
        <v>43861</v>
      </c>
      <c r="K49" s="1" t="s">
        <v>33</v>
      </c>
      <c r="L49" s="2" t="n">
        <v>43862</v>
      </c>
      <c r="M49" s="2" t="n">
        <v>43862</v>
      </c>
      <c r="N49" s="2" t="n">
        <v>43873</v>
      </c>
      <c r="O49" s="1" t="n">
        <v>1</v>
      </c>
      <c r="P49" s="1" t="n">
        <v>60</v>
      </c>
      <c r="Q49" s="1" t="n">
        <v>28.9007795</v>
      </c>
      <c r="R49" s="2" t="n">
        <v>43861</v>
      </c>
      <c r="S49" s="3" t="n">
        <v>5.03</v>
      </c>
      <c r="T49" s="3" t="n">
        <v>1.34804</v>
      </c>
      <c r="U49" s="3" t="n">
        <v>0.37222</v>
      </c>
      <c r="V49" s="1" t="n">
        <v>209</v>
      </c>
      <c r="W49" s="2" t="n">
        <v>43861</v>
      </c>
      <c r="X49" s="4" t="n">
        <v>0.5</v>
      </c>
      <c r="Y49" s="1" t="n">
        <v>32.6</v>
      </c>
      <c r="Z49" s="1" t="n">
        <v>26</v>
      </c>
      <c r="AA49" s="1" t="n">
        <v>18</v>
      </c>
      <c r="AB49" s="4" t="n">
        <v>27</v>
      </c>
      <c r="AC49" s="4" t="n">
        <v>9.6</v>
      </c>
      <c r="AD49" s="1" t="n">
        <v>75</v>
      </c>
      <c r="AE49" s="1" t="n">
        <v>4.47</v>
      </c>
    </row>
    <row r="50" customFormat="false" ht="13.5" hidden="false" customHeight="false" outlineLevel="0" collapsed="false">
      <c r="A50" s="1" t="s">
        <v>316</v>
      </c>
      <c r="B50" s="1" t="s">
        <v>31</v>
      </c>
      <c r="C50" s="1" t="s">
        <v>317</v>
      </c>
      <c r="D50" s="1" t="s">
        <v>33</v>
      </c>
      <c r="E50" s="1" t="n">
        <v>2</v>
      </c>
      <c r="F50" s="1" t="s">
        <v>236</v>
      </c>
      <c r="G50" s="1" t="s">
        <v>31</v>
      </c>
      <c r="H50" s="1" t="s">
        <v>318</v>
      </c>
      <c r="I50" s="2" t="n">
        <v>43852</v>
      </c>
      <c r="J50" s="2" t="n">
        <v>43856</v>
      </c>
      <c r="K50" s="1" t="s">
        <v>33</v>
      </c>
      <c r="L50" s="2" t="n">
        <v>43857</v>
      </c>
      <c r="M50" s="2" t="n">
        <v>43868</v>
      </c>
      <c r="N50" s="2" t="n">
        <v>43876</v>
      </c>
      <c r="O50" s="1" t="n">
        <v>0</v>
      </c>
      <c r="P50" s="1" t="n">
        <v>45</v>
      </c>
      <c r="Q50" s="1" t="n">
        <v>21.85491276</v>
      </c>
      <c r="R50" s="2" t="n">
        <v>43856</v>
      </c>
      <c r="S50" s="3" t="n">
        <v>6.8</v>
      </c>
      <c r="T50" s="3" t="n">
        <v>1.7272</v>
      </c>
      <c r="U50" s="3" t="n">
        <v>0.4216</v>
      </c>
      <c r="V50" s="1" t="n">
        <v>261</v>
      </c>
      <c r="W50" s="2" t="n">
        <v>43856</v>
      </c>
      <c r="X50" s="4" t="n">
        <v>9.37</v>
      </c>
      <c r="Y50" s="1" t="n">
        <v>13</v>
      </c>
      <c r="Z50" s="1" t="n">
        <v>21</v>
      </c>
      <c r="AA50" s="1" t="n">
        <v>16</v>
      </c>
      <c r="AB50" s="4" t="n">
        <v>4</v>
      </c>
      <c r="AC50" s="4" t="n">
        <v>0.8</v>
      </c>
      <c r="AD50" s="1" t="n">
        <v>59</v>
      </c>
      <c r="AE50" s="1" t="n">
        <v>6.19</v>
      </c>
    </row>
    <row r="51" customFormat="false" ht="13.5" hidden="false" customHeight="false" outlineLevel="0" collapsed="false">
      <c r="A51" s="1" t="s">
        <v>319</v>
      </c>
      <c r="B51" s="1" t="s">
        <v>31</v>
      </c>
      <c r="C51" s="1" t="s">
        <v>320</v>
      </c>
      <c r="D51" s="1" t="s">
        <v>33</v>
      </c>
      <c r="E51" s="1" t="n">
        <v>2</v>
      </c>
      <c r="F51" s="1" t="s">
        <v>236</v>
      </c>
      <c r="G51" s="1" t="s">
        <v>31</v>
      </c>
      <c r="H51" s="1" t="s">
        <v>321</v>
      </c>
      <c r="I51" s="2" t="n">
        <v>43842</v>
      </c>
      <c r="J51" s="2" t="n">
        <v>43856</v>
      </c>
      <c r="K51" s="1" t="s">
        <v>33</v>
      </c>
      <c r="L51" s="2" t="n">
        <v>43856</v>
      </c>
      <c r="M51" s="2" t="n">
        <v>43856</v>
      </c>
      <c r="N51" s="2" t="n">
        <v>43894</v>
      </c>
      <c r="O51" s="1" t="n">
        <v>1</v>
      </c>
      <c r="P51" s="1" t="n">
        <v>43</v>
      </c>
      <c r="Q51" s="1" t="n">
        <v>20.76124567</v>
      </c>
      <c r="R51" s="2" t="n">
        <v>43856</v>
      </c>
      <c r="S51" s="3" t="n">
        <v>8.17</v>
      </c>
      <c r="T51" s="3" t="n">
        <v>2.6</v>
      </c>
      <c r="U51" s="3" t="n">
        <v>1</v>
      </c>
      <c r="V51" s="1" t="n">
        <v>248</v>
      </c>
      <c r="W51" s="2" t="n">
        <v>43856</v>
      </c>
      <c r="X51" s="4" t="n">
        <v>26.41</v>
      </c>
      <c r="Y51" s="1" t="n">
        <v>23.1</v>
      </c>
      <c r="Z51" s="1" t="n">
        <v>23</v>
      </c>
      <c r="AA51" s="1" t="n">
        <v>23</v>
      </c>
      <c r="AB51" s="4" t="n">
        <v>31.3</v>
      </c>
      <c r="AC51" s="4" t="n">
        <v>11.1</v>
      </c>
      <c r="AD51" s="1" t="n">
        <v>89</v>
      </c>
      <c r="AE51" s="1" t="n">
        <v>12.86</v>
      </c>
    </row>
    <row r="52" customFormat="false" ht="13.5" hidden="false" customHeight="false" outlineLevel="0" collapsed="false">
      <c r="A52" s="1" t="s">
        <v>322</v>
      </c>
      <c r="B52" s="1" t="s">
        <v>31</v>
      </c>
      <c r="C52" s="1" t="s">
        <v>323</v>
      </c>
      <c r="D52" s="1" t="s">
        <v>33</v>
      </c>
      <c r="E52" s="1" t="n">
        <v>2</v>
      </c>
      <c r="F52" s="1" t="s">
        <v>236</v>
      </c>
      <c r="G52" s="1" t="s">
        <v>31</v>
      </c>
      <c r="H52" s="1" t="s">
        <v>324</v>
      </c>
      <c r="I52" s="2" t="n">
        <v>43860</v>
      </c>
      <c r="J52" s="2" t="n">
        <v>43863</v>
      </c>
      <c r="K52" s="1" t="s">
        <v>33</v>
      </c>
      <c r="L52" s="2" t="n">
        <v>43864</v>
      </c>
      <c r="M52" s="2" t="n">
        <v>43864</v>
      </c>
      <c r="N52" s="2" t="n">
        <v>43884</v>
      </c>
      <c r="O52" s="1" t="n">
        <v>1</v>
      </c>
      <c r="P52" s="1" t="n">
        <v>44</v>
      </c>
      <c r="Q52" s="1" t="n">
        <v>22.83737024</v>
      </c>
      <c r="R52" s="2" t="n">
        <v>43863</v>
      </c>
      <c r="S52" s="3" t="n">
        <v>5.97</v>
      </c>
      <c r="T52" s="3" t="n">
        <v>2.282928</v>
      </c>
      <c r="U52" s="3" t="n">
        <v>0.641178</v>
      </c>
      <c r="V52" s="1" t="n">
        <v>137</v>
      </c>
      <c r="W52" s="2" t="n">
        <v>43863</v>
      </c>
      <c r="X52" s="4" t="n">
        <v>1.7</v>
      </c>
      <c r="Y52" s="1" t="n">
        <v>20.9</v>
      </c>
      <c r="Z52" s="1" t="n">
        <v>20</v>
      </c>
      <c r="AA52" s="1" t="n">
        <v>22</v>
      </c>
      <c r="AB52" s="4" t="n">
        <v>14.9</v>
      </c>
      <c r="AC52" s="4" t="n">
        <v>5.9</v>
      </c>
      <c r="AD52" s="1" t="n">
        <v>70</v>
      </c>
      <c r="AE52" s="1" t="n">
        <v>7.59</v>
      </c>
    </row>
    <row r="53" customFormat="false" ht="13.5" hidden="false" customHeight="false" outlineLevel="0" collapsed="false">
      <c r="A53" s="1" t="s">
        <v>325</v>
      </c>
      <c r="B53" s="1" t="s">
        <v>31</v>
      </c>
      <c r="C53" s="1" t="s">
        <v>326</v>
      </c>
      <c r="D53" s="1" t="s">
        <v>33</v>
      </c>
      <c r="E53" s="1" t="n">
        <v>2</v>
      </c>
      <c r="F53" s="1" t="s">
        <v>236</v>
      </c>
      <c r="G53" s="1" t="s">
        <v>31</v>
      </c>
      <c r="H53" s="1" t="s">
        <v>327</v>
      </c>
      <c r="I53" s="2" t="n">
        <v>43862</v>
      </c>
      <c r="J53" s="2" t="n">
        <v>43863</v>
      </c>
      <c r="K53" s="1" t="s">
        <v>33</v>
      </c>
      <c r="L53" s="2" t="n">
        <v>43864</v>
      </c>
      <c r="M53" s="2" t="n">
        <v>43864</v>
      </c>
      <c r="N53" s="2" t="n">
        <v>43900</v>
      </c>
      <c r="O53" s="1" t="n">
        <v>0</v>
      </c>
      <c r="P53" s="1" t="n">
        <v>56</v>
      </c>
      <c r="Q53" s="1" t="n">
        <v>20.44913742</v>
      </c>
      <c r="R53" s="2" t="n">
        <v>43863</v>
      </c>
      <c r="S53" s="3" t="n">
        <v>4.01</v>
      </c>
      <c r="T53" s="3" t="n">
        <v>1.2</v>
      </c>
      <c r="U53" s="3" t="n">
        <v>0.4191</v>
      </c>
      <c r="V53" s="1" t="n">
        <v>206</v>
      </c>
      <c r="W53" s="2" t="n">
        <v>43863</v>
      </c>
      <c r="X53" s="4" t="n">
        <v>1.7</v>
      </c>
      <c r="Y53" s="1" t="n">
        <v>31.2</v>
      </c>
      <c r="Z53" s="1" t="n">
        <v>41</v>
      </c>
      <c r="AA53" s="1" t="n">
        <v>14</v>
      </c>
      <c r="AB53" s="4" t="n">
        <v>5.2</v>
      </c>
      <c r="AC53" s="4" t="n">
        <v>2.2</v>
      </c>
      <c r="AD53" s="1" t="n">
        <v>65</v>
      </c>
      <c r="AE53" s="1" t="n">
        <v>8.72</v>
      </c>
    </row>
    <row r="54" customFormat="false" ht="13.5" hidden="false" customHeight="false" outlineLevel="0" collapsed="false">
      <c r="A54" s="1" t="s">
        <v>328</v>
      </c>
      <c r="B54" s="1" t="s">
        <v>31</v>
      </c>
      <c r="C54" s="1" t="s">
        <v>329</v>
      </c>
      <c r="D54" s="1" t="s">
        <v>33</v>
      </c>
      <c r="E54" s="1" t="n">
        <v>2</v>
      </c>
      <c r="F54" s="1" t="s">
        <v>236</v>
      </c>
      <c r="G54" s="1" t="s">
        <v>31</v>
      </c>
      <c r="H54" s="1" t="s">
        <v>330</v>
      </c>
      <c r="I54" s="2" t="n">
        <v>43856</v>
      </c>
      <c r="J54" s="2" t="n">
        <v>43861</v>
      </c>
      <c r="K54" s="1" t="s">
        <v>33</v>
      </c>
      <c r="L54" s="2" t="n">
        <v>43864</v>
      </c>
      <c r="M54" s="2" t="n">
        <v>43864</v>
      </c>
      <c r="N54" s="2" t="n">
        <v>43869</v>
      </c>
      <c r="O54" s="1" t="n">
        <v>1</v>
      </c>
      <c r="P54" s="1" t="n">
        <v>43</v>
      </c>
      <c r="Q54" s="1" t="n">
        <v>26.81359045</v>
      </c>
      <c r="R54" s="2" t="n">
        <v>43861</v>
      </c>
      <c r="S54" s="3" t="n">
        <v>5.08</v>
      </c>
      <c r="T54" s="3" t="n">
        <v>0.773176</v>
      </c>
      <c r="U54" s="3" t="n">
        <v>0.52832</v>
      </c>
      <c r="V54" s="3" t="n">
        <v>183</v>
      </c>
      <c r="W54" s="2" t="n">
        <v>43861</v>
      </c>
      <c r="X54" s="3" t="n">
        <v>45.3</v>
      </c>
      <c r="Y54" s="3" t="n">
        <v>43.8</v>
      </c>
      <c r="Z54" s="3" t="n">
        <v>31</v>
      </c>
      <c r="AA54" s="3" t="n">
        <v>49</v>
      </c>
      <c r="AB54" s="3" t="n">
        <v>36.5</v>
      </c>
      <c r="AC54" s="3" t="n">
        <v>16.2</v>
      </c>
      <c r="AD54" s="3" t="n">
        <v>71</v>
      </c>
      <c r="AE54" s="1" t="n">
        <v>5.4</v>
      </c>
    </row>
    <row r="55" customFormat="false" ht="13.5" hidden="false" customHeight="false" outlineLevel="0" collapsed="false">
      <c r="A55" s="1" t="s">
        <v>331</v>
      </c>
      <c r="B55" s="1" t="s">
        <v>31</v>
      </c>
      <c r="C55" s="1" t="s">
        <v>331</v>
      </c>
      <c r="D55" s="1" t="s">
        <v>33</v>
      </c>
      <c r="E55" s="1" t="n">
        <v>2</v>
      </c>
      <c r="F55" s="1" t="s">
        <v>248</v>
      </c>
      <c r="G55" s="1" t="s">
        <v>31</v>
      </c>
      <c r="H55" s="1" t="s">
        <v>331</v>
      </c>
      <c r="I55" s="2" t="n">
        <v>43861</v>
      </c>
      <c r="J55" s="2" t="n">
        <v>43861</v>
      </c>
      <c r="K55" s="1" t="s">
        <v>33</v>
      </c>
      <c r="L55" s="2" t="n">
        <v>43862</v>
      </c>
      <c r="M55" s="2" t="n">
        <v>43862</v>
      </c>
      <c r="N55" s="2" t="n">
        <v>43901</v>
      </c>
      <c r="O55" s="1" t="n">
        <v>0</v>
      </c>
      <c r="P55" s="1" t="n">
        <v>55</v>
      </c>
      <c r="Q55" s="1" t="n">
        <v>21.71806609</v>
      </c>
      <c r="R55" s="2" t="n">
        <v>43861</v>
      </c>
      <c r="S55" s="3" t="n">
        <v>10</v>
      </c>
      <c r="T55" s="3" t="n">
        <v>1.6</v>
      </c>
      <c r="U55" s="3" t="n">
        <v>0.76</v>
      </c>
      <c r="V55" s="1" t="n">
        <v>290</v>
      </c>
      <c r="W55" s="2" t="n">
        <v>43861</v>
      </c>
      <c r="X55" s="4" t="n">
        <v>1.3</v>
      </c>
      <c r="Y55" s="1" t="n">
        <v>14</v>
      </c>
      <c r="Z55" s="1" t="n">
        <v>20</v>
      </c>
      <c r="AA55" s="1" t="n">
        <v>29</v>
      </c>
      <c r="AB55" s="4" t="n">
        <v>8.6</v>
      </c>
      <c r="AC55" s="4" t="n">
        <v>2.8</v>
      </c>
      <c r="AD55" s="1" t="n">
        <v>66</v>
      </c>
      <c r="AE55" s="1" t="n">
        <v>6.6</v>
      </c>
    </row>
    <row r="56" customFormat="false" ht="13.5" hidden="false" customHeight="false" outlineLevel="0" collapsed="false">
      <c r="A56" s="1" t="s">
        <v>332</v>
      </c>
      <c r="B56" s="1" t="s">
        <v>31</v>
      </c>
      <c r="C56" s="1" t="s">
        <v>332</v>
      </c>
      <c r="D56" s="1" t="s">
        <v>33</v>
      </c>
      <c r="E56" s="1" t="n">
        <v>2</v>
      </c>
      <c r="F56" s="1" t="s">
        <v>248</v>
      </c>
      <c r="G56" s="1" t="s">
        <v>31</v>
      </c>
      <c r="H56" s="1" t="s">
        <v>332</v>
      </c>
      <c r="I56" s="2" t="n">
        <v>43860</v>
      </c>
      <c r="J56" s="2" t="n">
        <v>43862</v>
      </c>
      <c r="K56" s="1" t="s">
        <v>33</v>
      </c>
      <c r="L56" s="2" t="n">
        <v>43863</v>
      </c>
      <c r="M56" s="2" t="n">
        <v>43863</v>
      </c>
      <c r="N56" s="2" t="n">
        <v>43895</v>
      </c>
      <c r="O56" s="1" t="n">
        <v>1</v>
      </c>
      <c r="P56" s="1" t="n">
        <v>18</v>
      </c>
      <c r="Q56" s="1" t="n">
        <v>20.06095444</v>
      </c>
      <c r="R56" s="2" t="n">
        <v>43862</v>
      </c>
      <c r="S56" s="3" t="n">
        <v>6.74</v>
      </c>
      <c r="T56" s="3" t="n">
        <v>1.6</v>
      </c>
      <c r="U56" s="3" t="n">
        <v>0.5</v>
      </c>
      <c r="V56" s="1" t="n">
        <v>215</v>
      </c>
      <c r="W56" s="2" t="n">
        <v>43862</v>
      </c>
      <c r="X56" s="4" t="n">
        <v>0.5</v>
      </c>
      <c r="Y56" s="1" t="n">
        <v>9.6</v>
      </c>
      <c r="Z56" s="1" t="n">
        <v>19</v>
      </c>
      <c r="AA56" s="1" t="n">
        <v>10</v>
      </c>
      <c r="AB56" s="4" t="n">
        <v>11.1</v>
      </c>
      <c r="AC56" s="4" t="n">
        <v>3.9</v>
      </c>
      <c r="AD56" s="1" t="n">
        <v>68</v>
      </c>
      <c r="AE56" s="1" t="n">
        <v>5.61</v>
      </c>
    </row>
    <row r="57" customFormat="false" ht="13.5" hidden="false" customHeight="false" outlineLevel="0" collapsed="false">
      <c r="A57" s="1" t="s">
        <v>333</v>
      </c>
      <c r="B57" s="1" t="s">
        <v>31</v>
      </c>
      <c r="C57" s="1" t="s">
        <v>333</v>
      </c>
      <c r="D57" s="1" t="s">
        <v>33</v>
      </c>
      <c r="E57" s="1" t="n">
        <v>2</v>
      </c>
      <c r="F57" s="1" t="s">
        <v>248</v>
      </c>
      <c r="G57" s="1" t="s">
        <v>31</v>
      </c>
      <c r="H57" s="1" t="s">
        <v>333</v>
      </c>
      <c r="I57" s="2" t="n">
        <v>43858</v>
      </c>
      <c r="J57" s="2" t="n">
        <v>43862</v>
      </c>
      <c r="K57" s="1" t="s">
        <v>33</v>
      </c>
      <c r="L57" s="2" t="n">
        <v>43863</v>
      </c>
      <c r="M57" s="2" t="n">
        <v>43863</v>
      </c>
      <c r="N57" s="2" t="n">
        <v>43869</v>
      </c>
      <c r="O57" s="1" t="n">
        <v>1</v>
      </c>
      <c r="P57" s="1" t="n">
        <v>36</v>
      </c>
      <c r="Q57" s="1" t="n">
        <v>21.8299522</v>
      </c>
      <c r="R57" s="2" t="n">
        <v>43862</v>
      </c>
      <c r="S57" s="3" t="n">
        <v>7.91</v>
      </c>
      <c r="T57" s="3" t="n">
        <v>2.42837</v>
      </c>
      <c r="U57" s="3" t="n">
        <v>0.71981</v>
      </c>
      <c r="V57" s="1" t="n">
        <v>334</v>
      </c>
      <c r="W57" s="2" t="n">
        <v>43862</v>
      </c>
      <c r="X57" s="4" t="n">
        <v>0.1</v>
      </c>
      <c r="Y57" s="1" t="n">
        <v>9.5</v>
      </c>
      <c r="Z57" s="1" t="n">
        <v>13</v>
      </c>
      <c r="AA57" s="1" t="n">
        <v>12</v>
      </c>
      <c r="AB57" s="4" t="n">
        <v>11.9</v>
      </c>
      <c r="AC57" s="4" t="n">
        <v>5</v>
      </c>
      <c r="AD57" s="1" t="n">
        <v>80</v>
      </c>
      <c r="AE57" s="1" t="n">
        <v>7.87</v>
      </c>
    </row>
    <row r="58" customFormat="false" ht="13.5" hidden="false" customHeight="false" outlineLevel="0" collapsed="false">
      <c r="A58" s="1" t="s">
        <v>334</v>
      </c>
      <c r="B58" s="1" t="s">
        <v>31</v>
      </c>
      <c r="C58" s="1" t="s">
        <v>334</v>
      </c>
      <c r="D58" s="1" t="s">
        <v>33</v>
      </c>
      <c r="E58" s="1" t="n">
        <v>2</v>
      </c>
      <c r="F58" s="1" t="s">
        <v>248</v>
      </c>
      <c r="G58" s="1" t="s">
        <v>31</v>
      </c>
      <c r="H58" s="1" t="s">
        <v>334</v>
      </c>
      <c r="I58" s="2" t="n">
        <v>43857</v>
      </c>
      <c r="J58" s="2" t="n">
        <v>43871</v>
      </c>
      <c r="K58" s="1" t="s">
        <v>33</v>
      </c>
      <c r="L58" s="2" t="n">
        <v>43872</v>
      </c>
      <c r="M58" s="2" t="n">
        <v>43872</v>
      </c>
      <c r="N58" s="2" t="n">
        <v>43894</v>
      </c>
      <c r="O58" s="1" t="n">
        <v>0</v>
      </c>
      <c r="P58" s="1" t="n">
        <v>54</v>
      </c>
      <c r="Q58" s="1" t="n">
        <v>24.3910588392529</v>
      </c>
      <c r="R58" s="2" t="n">
        <v>43871</v>
      </c>
      <c r="S58" s="3" t="n">
        <v>4</v>
      </c>
      <c r="T58" s="3" t="n">
        <v>1.372</v>
      </c>
      <c r="U58" s="3" t="n">
        <v>0.372</v>
      </c>
      <c r="V58" s="1" t="n">
        <v>254</v>
      </c>
      <c r="W58" s="2" t="n">
        <v>43871</v>
      </c>
      <c r="X58" s="4" t="n">
        <v>3.5</v>
      </c>
      <c r="Y58" s="1" t="n">
        <v>25.8</v>
      </c>
      <c r="Z58" s="1" t="n">
        <v>23</v>
      </c>
      <c r="AA58" s="1" t="n">
        <v>27</v>
      </c>
      <c r="AB58" s="4" t="n">
        <v>6.9</v>
      </c>
      <c r="AC58" s="4" t="n">
        <v>2.9</v>
      </c>
      <c r="AD58" s="1" t="n">
        <v>84</v>
      </c>
      <c r="AE58" s="1" t="n">
        <v>6.25</v>
      </c>
    </row>
    <row r="59" customFormat="false" ht="13.5" hidden="false" customHeight="false" outlineLevel="0" collapsed="false">
      <c r="A59" s="1" t="s">
        <v>335</v>
      </c>
      <c r="B59" s="1" t="s">
        <v>31</v>
      </c>
      <c r="C59" s="1" t="s">
        <v>335</v>
      </c>
      <c r="D59" s="1" t="s">
        <v>33</v>
      </c>
      <c r="E59" s="1" t="n">
        <v>2</v>
      </c>
      <c r="F59" s="1" t="s">
        <v>248</v>
      </c>
      <c r="G59" s="1" t="s">
        <v>31</v>
      </c>
      <c r="H59" s="1" t="s">
        <v>335</v>
      </c>
      <c r="I59" s="2" t="n">
        <v>43863</v>
      </c>
      <c r="J59" s="2" t="n">
        <v>43866</v>
      </c>
      <c r="K59" s="1" t="s">
        <v>33</v>
      </c>
      <c r="L59" s="2" t="n">
        <v>43867</v>
      </c>
      <c r="M59" s="2" t="n">
        <v>43867</v>
      </c>
      <c r="N59" s="2" t="n">
        <v>43893</v>
      </c>
      <c r="O59" s="1" t="n">
        <v>1</v>
      </c>
      <c r="P59" s="1" t="n">
        <v>37</v>
      </c>
      <c r="Q59" s="1" t="n">
        <v>22.4609375</v>
      </c>
      <c r="R59" s="2" t="n">
        <v>43866</v>
      </c>
      <c r="S59" s="3" t="n">
        <v>4.22</v>
      </c>
      <c r="T59" s="3" t="n">
        <v>1.419608</v>
      </c>
      <c r="U59" s="3" t="n">
        <v>0.292868</v>
      </c>
      <c r="V59" s="3" t="n">
        <v>160</v>
      </c>
      <c r="W59" s="2" t="n">
        <v>43866</v>
      </c>
      <c r="X59" s="3" t="n">
        <v>0.8</v>
      </c>
      <c r="Y59" s="3" t="n">
        <v>12.8</v>
      </c>
      <c r="Z59" s="3" t="n">
        <v>13</v>
      </c>
      <c r="AA59" s="3" t="n">
        <v>13</v>
      </c>
      <c r="AB59" s="3" t="n">
        <v>9</v>
      </c>
      <c r="AC59" s="3" t="n">
        <v>3.3</v>
      </c>
      <c r="AD59" s="3" t="n">
        <v>58</v>
      </c>
      <c r="AE59" s="1" t="n">
        <v>7.56</v>
      </c>
    </row>
    <row r="60" customFormat="false" ht="13.5" hidden="false" customHeight="false" outlineLevel="0" collapsed="false">
      <c r="A60" s="1" t="s">
        <v>336</v>
      </c>
      <c r="B60" s="1" t="s">
        <v>31</v>
      </c>
      <c r="C60" s="1" t="s">
        <v>336</v>
      </c>
      <c r="D60" s="1" t="s">
        <v>33</v>
      </c>
      <c r="E60" s="1" t="n">
        <v>2</v>
      </c>
      <c r="F60" s="1" t="s">
        <v>248</v>
      </c>
      <c r="G60" s="1" t="s">
        <v>31</v>
      </c>
      <c r="H60" s="1" t="s">
        <v>336</v>
      </c>
      <c r="I60" s="2" t="n">
        <v>43859</v>
      </c>
      <c r="J60" s="2" t="n">
        <v>43864</v>
      </c>
      <c r="K60" s="1" t="s">
        <v>33</v>
      </c>
      <c r="L60" s="2" t="n">
        <v>43865</v>
      </c>
      <c r="M60" s="2" t="n">
        <v>43865</v>
      </c>
      <c r="N60" s="2" t="n">
        <v>43897</v>
      </c>
      <c r="O60" s="1" t="n">
        <v>1</v>
      </c>
      <c r="P60" s="1" t="n">
        <v>51</v>
      </c>
      <c r="Q60" s="1" t="n">
        <v>24.08822312</v>
      </c>
      <c r="R60" s="2" t="n">
        <v>43864</v>
      </c>
      <c r="S60" s="3" t="n">
        <v>4.74</v>
      </c>
      <c r="T60" s="3" t="n">
        <v>1.63056</v>
      </c>
      <c r="U60" s="3" t="n">
        <v>0.48822</v>
      </c>
      <c r="V60" s="1" t="n">
        <v>223</v>
      </c>
      <c r="W60" s="2" t="n">
        <v>43864</v>
      </c>
      <c r="X60" s="4" t="n">
        <v>23.2</v>
      </c>
      <c r="Y60" s="1" t="n">
        <v>17.4</v>
      </c>
      <c r="Z60" s="1" t="n">
        <v>22</v>
      </c>
      <c r="AA60" s="1" t="n">
        <v>12</v>
      </c>
      <c r="AB60" s="4" t="n">
        <v>3.4</v>
      </c>
      <c r="AC60" s="4" t="n">
        <v>1.3</v>
      </c>
      <c r="AD60" s="1" t="n">
        <v>60</v>
      </c>
      <c r="AE60" s="1" t="n">
        <v>8.08</v>
      </c>
    </row>
    <row r="61" customFormat="false" ht="13.5" hidden="false" customHeight="false" outlineLevel="0" collapsed="false">
      <c r="A61" s="1" t="s">
        <v>337</v>
      </c>
      <c r="B61" s="1" t="s">
        <v>31</v>
      </c>
      <c r="C61" s="1" t="s">
        <v>337</v>
      </c>
      <c r="D61" s="1" t="s">
        <v>33</v>
      </c>
      <c r="E61" s="1" t="n">
        <v>2</v>
      </c>
      <c r="F61" s="1" t="s">
        <v>248</v>
      </c>
      <c r="G61" s="1" t="s">
        <v>31</v>
      </c>
      <c r="H61" s="1" t="s">
        <v>337</v>
      </c>
      <c r="I61" s="2" t="n">
        <v>43860</v>
      </c>
      <c r="J61" s="2" t="n">
        <v>43863</v>
      </c>
      <c r="K61" s="1" t="s">
        <v>33</v>
      </c>
      <c r="L61" s="2" t="n">
        <v>43864</v>
      </c>
      <c r="M61" s="2" t="n">
        <v>43864</v>
      </c>
      <c r="N61" s="2" t="n">
        <v>43873</v>
      </c>
      <c r="O61" s="1" t="n">
        <v>1</v>
      </c>
      <c r="P61" s="1" t="n">
        <v>48</v>
      </c>
      <c r="Q61" s="1" t="n">
        <v>23.14725512</v>
      </c>
      <c r="R61" s="2" t="n">
        <v>43863</v>
      </c>
      <c r="S61" s="3" t="n">
        <v>4.3</v>
      </c>
      <c r="T61" s="3" t="n">
        <v>1.4792</v>
      </c>
      <c r="U61" s="3" t="n">
        <v>0.3698</v>
      </c>
      <c r="V61" s="1" t="n">
        <v>182</v>
      </c>
      <c r="W61" s="2" t="n">
        <v>43863</v>
      </c>
      <c r="X61" s="4" t="n">
        <v>0.8</v>
      </c>
      <c r="Y61" s="1" t="n">
        <v>20.2</v>
      </c>
      <c r="Z61" s="1" t="n">
        <v>19</v>
      </c>
      <c r="AA61" s="1" t="n">
        <v>12</v>
      </c>
      <c r="AB61" s="4" t="n">
        <v>18.8</v>
      </c>
      <c r="AC61" s="4" t="n">
        <v>7.4</v>
      </c>
      <c r="AD61" s="1" t="n">
        <v>62</v>
      </c>
      <c r="AE61" s="1" t="n">
        <v>5.63</v>
      </c>
    </row>
    <row r="62" customFormat="false" ht="13.5" hidden="false" customHeight="false" outlineLevel="0" collapsed="false">
      <c r="A62" s="1" t="s">
        <v>338</v>
      </c>
      <c r="B62" s="1" t="s">
        <v>31</v>
      </c>
      <c r="C62" s="1" t="s">
        <v>338</v>
      </c>
      <c r="D62" s="1" t="s">
        <v>33</v>
      </c>
      <c r="E62" s="1" t="n">
        <v>2</v>
      </c>
      <c r="F62" s="1" t="s">
        <v>248</v>
      </c>
      <c r="G62" s="1" t="s">
        <v>31</v>
      </c>
      <c r="H62" s="1" t="s">
        <v>338</v>
      </c>
      <c r="I62" s="2" t="n">
        <v>43861</v>
      </c>
      <c r="J62" s="2" t="n">
        <v>43864</v>
      </c>
      <c r="K62" s="1" t="s">
        <v>33</v>
      </c>
      <c r="L62" s="2" t="n">
        <v>43865</v>
      </c>
      <c r="M62" s="2" t="n">
        <v>43865</v>
      </c>
      <c r="N62" s="2" t="n">
        <v>43882</v>
      </c>
      <c r="O62" s="1" t="n">
        <v>0</v>
      </c>
      <c r="P62" s="1" t="n">
        <v>66</v>
      </c>
      <c r="Q62" s="1" t="n">
        <v>24.91349481</v>
      </c>
      <c r="R62" s="2" t="n">
        <v>43864</v>
      </c>
      <c r="S62" s="3" t="n">
        <v>6.31</v>
      </c>
      <c r="T62" s="3" t="n">
        <v>1.67215</v>
      </c>
      <c r="U62" s="3" t="n">
        <v>0.49849</v>
      </c>
      <c r="V62" s="1" t="n">
        <v>241</v>
      </c>
      <c r="W62" s="2" t="n">
        <v>43864</v>
      </c>
      <c r="X62" s="4" t="n">
        <v>85.4</v>
      </c>
      <c r="Y62" s="1" t="n">
        <v>17.5</v>
      </c>
      <c r="Z62" s="1" t="n">
        <v>22</v>
      </c>
      <c r="AA62" s="1" t="n">
        <v>42</v>
      </c>
      <c r="AB62" s="4" t="n">
        <v>20.2</v>
      </c>
      <c r="AC62" s="4" t="n">
        <v>8.7</v>
      </c>
      <c r="AD62" s="1" t="n">
        <v>74</v>
      </c>
      <c r="AE62" s="1" t="n">
        <v>18.02</v>
      </c>
    </row>
    <row r="63" customFormat="false" ht="13.5" hidden="false" customHeight="false" outlineLevel="0" collapsed="false">
      <c r="A63" s="1" t="s">
        <v>339</v>
      </c>
      <c r="B63" s="1" t="s">
        <v>31</v>
      </c>
      <c r="C63" s="1" t="s">
        <v>339</v>
      </c>
      <c r="D63" s="1" t="s">
        <v>33</v>
      </c>
      <c r="E63" s="1" t="n">
        <v>2</v>
      </c>
      <c r="F63" s="1" t="s">
        <v>248</v>
      </c>
      <c r="G63" s="1" t="s">
        <v>31</v>
      </c>
      <c r="H63" s="1" t="s">
        <v>339</v>
      </c>
      <c r="I63" s="2" t="n">
        <v>43858</v>
      </c>
      <c r="J63" s="2" t="n">
        <v>43861</v>
      </c>
      <c r="K63" s="1" t="s">
        <v>33</v>
      </c>
      <c r="L63" s="2" t="n">
        <v>43862</v>
      </c>
      <c r="M63" s="2" t="n">
        <v>43862</v>
      </c>
      <c r="N63" s="2" t="n">
        <v>43869</v>
      </c>
      <c r="O63" s="1" t="n">
        <v>0</v>
      </c>
      <c r="P63" s="1" t="n">
        <v>37</v>
      </c>
      <c r="Q63" s="1" t="n">
        <v>22.83737024</v>
      </c>
      <c r="R63" s="2" t="n">
        <v>43861</v>
      </c>
      <c r="S63" s="3" t="n">
        <v>8.46</v>
      </c>
      <c r="T63" s="3" t="n">
        <v>2.36034</v>
      </c>
      <c r="U63" s="3" t="n">
        <v>0.38916</v>
      </c>
      <c r="V63" s="1" t="n">
        <v>247</v>
      </c>
      <c r="W63" s="2" t="n">
        <v>43861</v>
      </c>
      <c r="X63" s="4" t="n">
        <v>0.5</v>
      </c>
      <c r="Y63" s="1" t="n">
        <v>39.2</v>
      </c>
      <c r="Z63" s="1" t="n">
        <v>25</v>
      </c>
      <c r="AA63" s="1" t="n">
        <v>47</v>
      </c>
      <c r="AB63" s="4" t="n">
        <v>14.1</v>
      </c>
      <c r="AC63" s="4" t="n">
        <v>5.2</v>
      </c>
      <c r="AD63" s="1" t="n">
        <v>83</v>
      </c>
      <c r="AE63" s="1" t="n">
        <v>10.08</v>
      </c>
    </row>
    <row r="64" customFormat="false" ht="13.5" hidden="false" customHeight="false" outlineLevel="0" collapsed="false">
      <c r="A64" s="1" t="s">
        <v>340</v>
      </c>
      <c r="B64" s="1" t="s">
        <v>31</v>
      </c>
      <c r="C64" s="1" t="s">
        <v>340</v>
      </c>
      <c r="D64" s="1" t="s">
        <v>33</v>
      </c>
      <c r="E64" s="1" t="n">
        <v>2</v>
      </c>
      <c r="F64" s="1" t="s">
        <v>248</v>
      </c>
      <c r="G64" s="1" t="s">
        <v>31</v>
      </c>
      <c r="H64" s="1" t="s">
        <v>340</v>
      </c>
      <c r="I64" s="2" t="n">
        <v>43854</v>
      </c>
      <c r="J64" s="2" t="n">
        <v>43861</v>
      </c>
      <c r="K64" s="1" t="s">
        <v>33</v>
      </c>
      <c r="L64" s="2" t="n">
        <v>43862</v>
      </c>
      <c r="M64" s="2" t="n">
        <v>43862</v>
      </c>
      <c r="N64" s="2" t="n">
        <v>43879</v>
      </c>
      <c r="O64" s="1" t="n">
        <v>0</v>
      </c>
      <c r="P64" s="1" t="n">
        <v>46</v>
      </c>
      <c r="Q64" s="1" t="n">
        <v>27.6816609</v>
      </c>
      <c r="R64" s="2" t="n">
        <v>43861</v>
      </c>
      <c r="S64" s="3" t="n">
        <v>4.95</v>
      </c>
      <c r="T64" s="3" t="n">
        <v>1.782</v>
      </c>
      <c r="U64" s="3" t="n">
        <v>0.50985</v>
      </c>
      <c r="V64" s="1" t="n">
        <v>185</v>
      </c>
      <c r="W64" s="2" t="n">
        <v>43861</v>
      </c>
      <c r="X64" s="4" t="n">
        <v>16.6</v>
      </c>
      <c r="Y64" s="1" t="n">
        <v>42.9</v>
      </c>
      <c r="Z64" s="1" t="n">
        <v>36</v>
      </c>
      <c r="AA64" s="1" t="n">
        <v>74</v>
      </c>
      <c r="AB64" s="4" t="n">
        <v>9.9</v>
      </c>
      <c r="AC64" s="4" t="n">
        <v>4</v>
      </c>
      <c r="AD64" s="1" t="n">
        <v>88</v>
      </c>
      <c r="AE64" s="1" t="n">
        <v>5.65</v>
      </c>
    </row>
    <row r="65" customFormat="false" ht="13.5" hidden="false" customHeight="false" outlineLevel="0" collapsed="false">
      <c r="A65" s="1" t="s">
        <v>341</v>
      </c>
      <c r="B65" s="1" t="s">
        <v>31</v>
      </c>
      <c r="C65" s="1" t="s">
        <v>341</v>
      </c>
      <c r="D65" s="1" t="s">
        <v>33</v>
      </c>
      <c r="E65" s="1" t="n">
        <v>2</v>
      </c>
      <c r="F65" s="1" t="s">
        <v>248</v>
      </c>
      <c r="G65" s="1" t="s">
        <v>31</v>
      </c>
      <c r="H65" s="1" t="s">
        <v>341</v>
      </c>
      <c r="I65" s="2" t="n">
        <v>43853</v>
      </c>
      <c r="J65" s="2" t="n">
        <v>43862</v>
      </c>
      <c r="K65" s="1" t="s">
        <v>33</v>
      </c>
      <c r="L65" s="2" t="n">
        <v>43863</v>
      </c>
      <c r="M65" s="2" t="n">
        <v>43863</v>
      </c>
      <c r="N65" s="2" t="n">
        <v>43875</v>
      </c>
      <c r="O65" s="1" t="n">
        <v>0</v>
      </c>
      <c r="P65" s="1" t="n">
        <v>39</v>
      </c>
      <c r="Q65" s="1" t="n">
        <v>28.5467128</v>
      </c>
      <c r="R65" s="2" t="n">
        <v>43862</v>
      </c>
      <c r="S65" s="3" t="n">
        <v>5.54</v>
      </c>
      <c r="T65" s="3" t="n">
        <v>1.520176</v>
      </c>
      <c r="U65" s="3" t="n">
        <v>0.611616</v>
      </c>
      <c r="V65" s="3" t="n">
        <v>229</v>
      </c>
      <c r="W65" s="2" t="n">
        <v>43862</v>
      </c>
      <c r="X65" s="3" t="n">
        <v>17.8</v>
      </c>
      <c r="Y65" s="3" t="n">
        <v>21.7</v>
      </c>
      <c r="Z65" s="3" t="n">
        <v>22</v>
      </c>
      <c r="AA65" s="3" t="n">
        <v>38</v>
      </c>
      <c r="AB65" s="3" t="n">
        <v>17</v>
      </c>
      <c r="AC65" s="3" t="n">
        <v>5.5</v>
      </c>
      <c r="AD65" s="3" t="n">
        <v>101</v>
      </c>
      <c r="AE65" s="1" t="n">
        <v>6.78</v>
      </c>
    </row>
    <row r="66" customFormat="false" ht="13.5" hidden="false" customHeight="false" outlineLevel="0" collapsed="false">
      <c r="A66" s="1" t="s">
        <v>342</v>
      </c>
      <c r="B66" s="1" t="s">
        <v>31</v>
      </c>
      <c r="C66" s="1" t="s">
        <v>342</v>
      </c>
      <c r="D66" s="1" t="s">
        <v>33</v>
      </c>
      <c r="E66" s="1" t="n">
        <v>2</v>
      </c>
      <c r="F66" s="1" t="s">
        <v>248</v>
      </c>
      <c r="G66" s="1" t="s">
        <v>31</v>
      </c>
      <c r="H66" s="1" t="s">
        <v>342</v>
      </c>
      <c r="I66" s="2" t="n">
        <v>43860</v>
      </c>
      <c r="J66" s="2" t="n">
        <v>43863</v>
      </c>
      <c r="K66" s="1" t="s">
        <v>33</v>
      </c>
      <c r="L66" s="2" t="n">
        <v>43864</v>
      </c>
      <c r="M66" s="2" t="n">
        <v>43864</v>
      </c>
      <c r="N66" s="2" t="n">
        <v>43879</v>
      </c>
      <c r="O66" s="1" t="n">
        <v>0</v>
      </c>
      <c r="P66" s="1" t="n">
        <v>47</v>
      </c>
      <c r="Q66" s="1" t="n">
        <v>30.6793279766253</v>
      </c>
      <c r="R66" s="2" t="n">
        <v>43863</v>
      </c>
      <c r="S66" s="3" t="n">
        <v>13.29</v>
      </c>
      <c r="T66" s="3" t="n">
        <v>1.281156</v>
      </c>
      <c r="U66" s="3" t="n">
        <v>0.417306</v>
      </c>
      <c r="V66" s="1" t="n">
        <v>331</v>
      </c>
      <c r="W66" s="2" t="n">
        <v>43863</v>
      </c>
      <c r="X66" s="4" t="n">
        <v>5.2</v>
      </c>
      <c r="Y66" s="1" t="n">
        <v>67</v>
      </c>
      <c r="Z66" s="1" t="n">
        <v>24</v>
      </c>
      <c r="AA66" s="1" t="n">
        <v>108</v>
      </c>
      <c r="AB66" s="4" t="n">
        <v>10</v>
      </c>
      <c r="AC66" s="4" t="n">
        <v>3.8</v>
      </c>
      <c r="AD66" s="1" t="n">
        <v>75</v>
      </c>
      <c r="AE66" s="1" t="n">
        <v>12.94</v>
      </c>
    </row>
    <row r="68" customFormat="false" ht="13.5" hidden="false" customHeight="false" outlineLevel="0" collapsed="false">
      <c r="P68" s="1" t="n">
        <f aca="false">AVERAGE(P2:P66)</f>
        <v>48.0615384615385</v>
      </c>
      <c r="Q68" s="1" t="n">
        <f aca="false">AVERAGE(Q2:Q66)</f>
        <v>24.8810301782598</v>
      </c>
    </row>
    <row r="69" customFormat="false" ht="13.5" hidden="false" customHeight="false" outlineLevel="0" collapsed="false">
      <c r="P69" s="1" t="n">
        <f aca="false">MEDIAN(P2:P66)</f>
        <v>47</v>
      </c>
      <c r="Q69" s="1" t="n">
        <f aca="false">MEDIAN(Q2:Q66)</f>
        <v>24.738543785</v>
      </c>
    </row>
    <row r="70" customFormat="false" ht="13.5" hidden="false" customHeight="false" outlineLevel="0" collapsed="false">
      <c r="P70" s="1" t="n">
        <f aca="false">MIN(P2:P66)</f>
        <v>18</v>
      </c>
      <c r="Q70" s="1" t="n">
        <f aca="false">MIN(Q2:Q66)</f>
        <v>18.9370029</v>
      </c>
    </row>
    <row r="71" customFormat="false" ht="13.5" hidden="false" customHeight="false" outlineLevel="0" collapsed="false">
      <c r="P71" s="1" t="n">
        <f aca="false">MAX(P2:P66)</f>
        <v>77</v>
      </c>
      <c r="Q71" s="1" t="n">
        <f aca="false">MAX(Q2:Q66)</f>
        <v>31.26690103</v>
      </c>
    </row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P40" activeCellId="2" sqref="X:AE S:V P40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2.66"/>
    <col collapsed="false" customWidth="true" hidden="false" outlineLevel="0" max="3" min="3" style="1" width="15.83"/>
    <col collapsed="false" customWidth="true" hidden="false" outlineLevel="0" max="4" min="4" style="1" width="11.83"/>
    <col collapsed="false" customWidth="true" hidden="false" outlineLevel="0" max="5" min="5" style="1" width="9.83"/>
    <col collapsed="false" customWidth="true" hidden="false" outlineLevel="0" max="6" min="6" style="1" width="15.83"/>
    <col collapsed="false" customWidth="true" hidden="false" outlineLevel="0" max="7" min="7" style="1" width="14.66"/>
    <col collapsed="false" customWidth="true" hidden="false" outlineLevel="0" max="8" min="8" style="1" width="15.83"/>
    <col collapsed="false" customWidth="true" hidden="false" outlineLevel="0" max="9" min="9" style="2" width="11.66"/>
    <col collapsed="false" customWidth="true" hidden="false" outlineLevel="0" max="10" min="10" style="2" width="15.83"/>
    <col collapsed="false" customWidth="true" hidden="false" outlineLevel="0" max="11" min="11" style="2" width="14"/>
    <col collapsed="false" customWidth="true" hidden="false" outlineLevel="0" max="13" min="12" style="2" width="9.83"/>
    <col collapsed="false" customWidth="true" hidden="false" outlineLevel="0" max="14" min="14" style="2" width="11.66"/>
    <col collapsed="false" customWidth="false" hidden="false" outlineLevel="0" max="16" min="15" style="1" width="9"/>
    <col collapsed="false" customWidth="true" hidden="false" outlineLevel="0" max="17" min="17" style="1" width="11.33"/>
    <col collapsed="false" customWidth="false" hidden="false" outlineLevel="0" max="18" min="18" style="3" width="9"/>
    <col collapsed="false" customWidth="true" hidden="false" outlineLevel="0" max="19" min="19" style="3" width="12"/>
    <col collapsed="false" customWidth="true" hidden="false" outlineLevel="0" max="20" min="20" style="3" width="10.17"/>
    <col collapsed="false" customWidth="false" hidden="false" outlineLevel="0" max="21" min="21" style="1" width="9"/>
    <col collapsed="false" customWidth="true" hidden="false" outlineLevel="0" max="22" min="22" style="2" width="9.51"/>
    <col collapsed="false" customWidth="false" hidden="false" outlineLevel="0" max="23" min="23" style="4" width="9"/>
    <col collapsed="false" customWidth="false" hidden="false" outlineLevel="0" max="26" min="24" style="1" width="9"/>
    <col collapsed="false" customWidth="false" hidden="false" outlineLevel="0" max="28" min="27" style="4" width="9"/>
    <col collapsed="false" customWidth="true" hidden="false" outlineLevel="0" max="29" min="29" style="1" width="10.66"/>
    <col collapsed="false" customWidth="false" hidden="false" outlineLevel="0" max="1024" min="30" style="1" width="9"/>
  </cols>
  <sheetData>
    <row r="1" s="5" customFormat="true" ht="6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7" t="s">
        <v>20</v>
      </c>
      <c r="V1" s="5" t="s">
        <v>21</v>
      </c>
      <c r="W1" s="6" t="s">
        <v>17</v>
      </c>
      <c r="X1" s="8" t="s">
        <v>22</v>
      </c>
      <c r="Y1" s="5" t="s">
        <v>23</v>
      </c>
      <c r="Z1" s="5" t="s">
        <v>24</v>
      </c>
      <c r="AA1" s="5" t="s">
        <v>25</v>
      </c>
      <c r="AB1" s="8" t="s">
        <v>26</v>
      </c>
      <c r="AC1" s="8" t="s">
        <v>27</v>
      </c>
      <c r="AD1" s="5" t="s">
        <v>28</v>
      </c>
      <c r="AE1" s="5" t="s">
        <v>29</v>
      </c>
    </row>
    <row r="2" customFormat="false" ht="13.5" hidden="false" customHeight="false" outlineLevel="0" collapsed="false">
      <c r="A2" s="1" t="s">
        <v>255</v>
      </c>
      <c r="B2" s="1" t="s">
        <v>31</v>
      </c>
      <c r="C2" s="1" t="s">
        <v>256</v>
      </c>
      <c r="D2" s="1" t="s">
        <v>257</v>
      </c>
      <c r="E2" s="1" t="n">
        <v>2</v>
      </c>
      <c r="F2" s="1" t="s">
        <v>187</v>
      </c>
      <c r="G2" s="1" t="s">
        <v>31</v>
      </c>
      <c r="H2" s="1" t="s">
        <v>258</v>
      </c>
      <c r="I2" s="2" t="n">
        <v>43854</v>
      </c>
      <c r="J2" s="2" t="n">
        <v>43855</v>
      </c>
      <c r="K2" s="1" t="s">
        <v>33</v>
      </c>
      <c r="L2" s="2" t="n">
        <v>43856</v>
      </c>
      <c r="M2" s="2" t="n">
        <v>43866</v>
      </c>
      <c r="N2" s="2" t="n">
        <v>43875</v>
      </c>
      <c r="O2" s="1" t="n">
        <v>1</v>
      </c>
      <c r="P2" s="1" t="n">
        <v>38</v>
      </c>
      <c r="Q2" s="1" t="n">
        <v>28.01022373</v>
      </c>
      <c r="R2" s="2" t="n">
        <v>43856</v>
      </c>
      <c r="S2" s="3" t="n">
        <v>11.7</v>
      </c>
      <c r="T2" s="3" t="n">
        <v>2.6793</v>
      </c>
      <c r="U2" s="3" t="n">
        <v>1.2402</v>
      </c>
      <c r="V2" s="1" t="n">
        <v>181</v>
      </c>
      <c r="W2" s="2" t="n">
        <v>43856</v>
      </c>
      <c r="X2" s="4" t="n">
        <v>17.9</v>
      </c>
      <c r="Y2" s="1" t="n">
        <v>52</v>
      </c>
      <c r="Z2" s="1" t="n">
        <v>37</v>
      </c>
      <c r="AA2" s="1" t="n">
        <v>55</v>
      </c>
      <c r="AB2" s="4" t="n">
        <v>8.2</v>
      </c>
      <c r="AC2" s="4" t="n">
        <v>2.5</v>
      </c>
      <c r="AD2" s="1" t="n">
        <v>80</v>
      </c>
      <c r="AE2" s="1" t="n">
        <v>6.18</v>
      </c>
    </row>
    <row r="3" customFormat="false" ht="13.5" hidden="false" customHeight="false" outlineLevel="0" collapsed="false">
      <c r="A3" s="1" t="s">
        <v>259</v>
      </c>
      <c r="B3" s="1" t="s">
        <v>31</v>
      </c>
      <c r="C3" s="1" t="s">
        <v>260</v>
      </c>
      <c r="D3" s="1" t="s">
        <v>33</v>
      </c>
      <c r="E3" s="1" t="n">
        <v>2</v>
      </c>
      <c r="F3" s="1" t="s">
        <v>187</v>
      </c>
      <c r="G3" s="1" t="s">
        <v>31</v>
      </c>
      <c r="H3" s="1" t="s">
        <v>261</v>
      </c>
      <c r="I3" s="2" t="n">
        <v>43861</v>
      </c>
      <c r="J3" s="2" t="n">
        <v>43863</v>
      </c>
      <c r="K3" s="1" t="s">
        <v>33</v>
      </c>
      <c r="L3" s="2" t="n">
        <v>43864</v>
      </c>
      <c r="M3" s="2" t="n">
        <v>43873</v>
      </c>
      <c r="N3" s="2" t="n">
        <v>43873</v>
      </c>
      <c r="O3" s="1" t="n">
        <v>1</v>
      </c>
      <c r="P3" s="1" t="n">
        <v>36</v>
      </c>
      <c r="Q3" s="1" t="n">
        <v>24.91349481</v>
      </c>
      <c r="R3" s="2" t="n">
        <v>43863</v>
      </c>
      <c r="S3" s="3" t="n">
        <v>4.93</v>
      </c>
      <c r="T3" s="3" t="n">
        <v>1.64169</v>
      </c>
      <c r="U3" s="3" t="n">
        <v>0.49793</v>
      </c>
      <c r="V3" s="1" t="n">
        <v>194</v>
      </c>
      <c r="W3" s="2" t="n">
        <v>43863</v>
      </c>
      <c r="X3" s="4" t="n">
        <v>1.9</v>
      </c>
      <c r="Y3" s="1" t="n">
        <v>48.2</v>
      </c>
      <c r="Z3" s="1" t="n">
        <v>34</v>
      </c>
      <c r="AA3" s="1" t="n">
        <v>59</v>
      </c>
      <c r="AB3" s="4" t="n">
        <v>14.1</v>
      </c>
      <c r="AC3" s="4" t="n">
        <v>4.8</v>
      </c>
      <c r="AD3" s="1" t="n">
        <v>94</v>
      </c>
      <c r="AE3" s="1" t="n">
        <v>5.25</v>
      </c>
    </row>
    <row r="4" customFormat="false" ht="13.5" hidden="false" customHeight="false" outlineLevel="0" collapsed="false">
      <c r="A4" s="1" t="s">
        <v>262</v>
      </c>
      <c r="B4" s="1" t="s">
        <v>31</v>
      </c>
      <c r="C4" s="1" t="s">
        <v>263</v>
      </c>
      <c r="D4" s="1" t="s">
        <v>33</v>
      </c>
      <c r="E4" s="1" t="n">
        <v>2</v>
      </c>
      <c r="F4" s="1" t="s">
        <v>187</v>
      </c>
      <c r="G4" s="1" t="s">
        <v>31</v>
      </c>
      <c r="H4" s="1" t="s">
        <v>264</v>
      </c>
      <c r="I4" s="2" t="n">
        <v>43863</v>
      </c>
      <c r="J4" s="2" t="n">
        <v>43865</v>
      </c>
      <c r="K4" s="1" t="s">
        <v>33</v>
      </c>
      <c r="L4" s="2" t="n">
        <v>43866</v>
      </c>
      <c r="M4" s="2" t="n">
        <v>43866</v>
      </c>
      <c r="N4" s="2" t="n">
        <v>43893</v>
      </c>
      <c r="O4" s="1" t="n">
        <v>1</v>
      </c>
      <c r="P4" s="1" t="n">
        <v>70</v>
      </c>
      <c r="Q4" s="1" t="n">
        <v>25.88057064</v>
      </c>
      <c r="R4" s="2" t="n">
        <v>43865</v>
      </c>
      <c r="S4" s="3" t="n">
        <v>3.43</v>
      </c>
      <c r="T4" s="3" t="n">
        <v>0.721672</v>
      </c>
      <c r="U4" s="3" t="n">
        <v>0.310072</v>
      </c>
      <c r="V4" s="1" t="n">
        <v>205</v>
      </c>
      <c r="W4" s="2" t="n">
        <v>43865</v>
      </c>
      <c r="X4" s="4" t="n">
        <v>89.9</v>
      </c>
      <c r="Y4" s="1" t="n">
        <v>22</v>
      </c>
      <c r="Z4" s="1" t="n">
        <v>30</v>
      </c>
      <c r="AA4" s="1" t="n">
        <v>30</v>
      </c>
      <c r="AB4" s="4" t="n">
        <v>12.3</v>
      </c>
      <c r="AC4" s="4" t="n">
        <v>3.9</v>
      </c>
      <c r="AD4" s="1" t="n">
        <v>93</v>
      </c>
      <c r="AE4" s="1" t="n">
        <v>9.21</v>
      </c>
    </row>
    <row r="5" customFormat="false" ht="13.5" hidden="false" customHeight="false" outlineLevel="0" collapsed="false">
      <c r="A5" s="1" t="s">
        <v>265</v>
      </c>
      <c r="B5" s="1" t="s">
        <v>31</v>
      </c>
      <c r="C5" s="1" t="s">
        <v>266</v>
      </c>
      <c r="D5" s="1" t="s">
        <v>33</v>
      </c>
      <c r="E5" s="1" t="n">
        <v>2</v>
      </c>
      <c r="F5" s="1" t="s">
        <v>187</v>
      </c>
      <c r="G5" s="1" t="s">
        <v>31</v>
      </c>
      <c r="H5" s="1" t="s">
        <v>267</v>
      </c>
      <c r="I5" s="2" t="n">
        <v>43856</v>
      </c>
      <c r="J5" s="2" t="n">
        <v>43862</v>
      </c>
      <c r="K5" s="1" t="s">
        <v>33</v>
      </c>
      <c r="L5" s="2" t="n">
        <v>43863</v>
      </c>
      <c r="M5" s="2" t="n">
        <v>43863</v>
      </c>
      <c r="N5" s="2" t="n">
        <v>43871</v>
      </c>
      <c r="O5" s="1" t="n">
        <v>1</v>
      </c>
      <c r="P5" s="1" t="n">
        <v>33</v>
      </c>
      <c r="Q5" s="1" t="n">
        <v>27.04164413</v>
      </c>
      <c r="R5" s="2" t="n">
        <v>43862</v>
      </c>
      <c r="S5" s="3" t="n">
        <v>3.76</v>
      </c>
      <c r="T5" s="3" t="n">
        <v>1.45888</v>
      </c>
      <c r="U5" s="3" t="n">
        <v>0.22184</v>
      </c>
      <c r="V5" s="1" t="n">
        <v>144</v>
      </c>
      <c r="W5" s="2" t="n">
        <v>43862</v>
      </c>
      <c r="X5" s="4" t="n">
        <v>0.5</v>
      </c>
      <c r="Y5" s="1" t="n">
        <v>27.1</v>
      </c>
      <c r="Z5" s="1" t="n">
        <v>23</v>
      </c>
      <c r="AA5" s="1" t="n">
        <v>23</v>
      </c>
      <c r="AB5" s="4" t="n">
        <v>18.9</v>
      </c>
      <c r="AC5" s="4" t="n">
        <v>6.3</v>
      </c>
      <c r="AD5" s="1" t="n">
        <v>88</v>
      </c>
      <c r="AE5" s="1" t="n">
        <v>5.88</v>
      </c>
    </row>
    <row r="6" customFormat="false" ht="13.5" hidden="false" customHeight="false" outlineLevel="0" collapsed="false">
      <c r="A6" s="1" t="s">
        <v>268</v>
      </c>
      <c r="B6" s="1" t="s">
        <v>31</v>
      </c>
      <c r="C6" s="1" t="s">
        <v>269</v>
      </c>
      <c r="D6" s="1" t="s">
        <v>33</v>
      </c>
      <c r="E6" s="1" t="n">
        <v>2</v>
      </c>
      <c r="F6" s="1" t="s">
        <v>187</v>
      </c>
      <c r="G6" s="1" t="s">
        <v>31</v>
      </c>
      <c r="H6" s="1" t="s">
        <v>270</v>
      </c>
      <c r="I6" s="2" t="n">
        <v>43854</v>
      </c>
      <c r="J6" s="2" t="n">
        <v>43855</v>
      </c>
      <c r="K6" s="1" t="s">
        <v>33</v>
      </c>
      <c r="L6" s="2" t="n">
        <v>43855</v>
      </c>
      <c r="M6" s="2" t="n">
        <v>43855</v>
      </c>
      <c r="N6" s="2" t="n">
        <v>43872</v>
      </c>
      <c r="O6" s="1" t="n">
        <v>1</v>
      </c>
      <c r="P6" s="1" t="n">
        <v>33</v>
      </c>
      <c r="Q6" s="1" t="n">
        <v>25.92592593</v>
      </c>
      <c r="R6" s="2" t="n">
        <v>43855</v>
      </c>
      <c r="S6" s="3" t="n">
        <v>3.17</v>
      </c>
      <c r="T6" s="3" t="n">
        <v>1.1</v>
      </c>
      <c r="U6" s="3" t="n">
        <v>0.4</v>
      </c>
      <c r="V6" s="1" t="n">
        <v>144</v>
      </c>
      <c r="W6" s="2" t="n">
        <v>43856</v>
      </c>
      <c r="X6" s="4" t="n">
        <v>12.46</v>
      </c>
      <c r="Y6" s="1" t="n">
        <v>30</v>
      </c>
      <c r="Z6" s="1" t="n">
        <v>30</v>
      </c>
      <c r="AA6" s="1" t="n">
        <v>29</v>
      </c>
      <c r="AB6" s="4" t="n">
        <v>13.1</v>
      </c>
      <c r="AC6" s="4" t="n">
        <v>5.5</v>
      </c>
      <c r="AD6" s="1" t="n">
        <v>110</v>
      </c>
      <c r="AE6" s="1" t="n">
        <v>5.12</v>
      </c>
    </row>
    <row r="7" customFormat="false" ht="13.5" hidden="false" customHeight="false" outlineLevel="0" collapsed="false">
      <c r="A7" s="1" t="s">
        <v>271</v>
      </c>
      <c r="B7" s="1" t="s">
        <v>31</v>
      </c>
      <c r="C7" s="1" t="s">
        <v>272</v>
      </c>
      <c r="D7" s="1" t="s">
        <v>33</v>
      </c>
      <c r="E7" s="1" t="n">
        <v>2</v>
      </c>
      <c r="F7" s="1" t="s">
        <v>187</v>
      </c>
      <c r="G7" s="1" t="s">
        <v>31</v>
      </c>
      <c r="H7" s="1" t="s">
        <v>273</v>
      </c>
      <c r="I7" s="2" t="n">
        <v>43851</v>
      </c>
      <c r="J7" s="2" t="n">
        <v>43853</v>
      </c>
      <c r="K7" s="1" t="s">
        <v>33</v>
      </c>
      <c r="L7" s="2" t="n">
        <v>43853</v>
      </c>
      <c r="M7" s="2" t="n">
        <v>43858</v>
      </c>
      <c r="N7" s="2" t="n">
        <v>43875</v>
      </c>
      <c r="O7" s="1" t="n">
        <v>0</v>
      </c>
      <c r="P7" s="1" t="n">
        <v>45</v>
      </c>
      <c r="Q7" s="1" t="n">
        <v>23.23345618</v>
      </c>
      <c r="R7" s="2" t="n">
        <v>43853</v>
      </c>
      <c r="S7" s="3" t="n">
        <v>5.09</v>
      </c>
      <c r="T7" s="3" t="n">
        <v>1.4</v>
      </c>
      <c r="U7" s="3" t="n">
        <v>0.6</v>
      </c>
      <c r="V7" s="1" t="n">
        <v>221</v>
      </c>
      <c r="W7" s="2" t="n">
        <v>43854</v>
      </c>
      <c r="X7" s="4" t="n">
        <v>4</v>
      </c>
      <c r="Y7" s="1" t="n">
        <v>10</v>
      </c>
      <c r="Z7" s="1" t="n">
        <v>19</v>
      </c>
      <c r="AA7" s="1" t="n">
        <v>13</v>
      </c>
      <c r="AB7" s="4" t="n">
        <v>6</v>
      </c>
      <c r="AC7" s="4" t="n">
        <v>2.5</v>
      </c>
      <c r="AD7" s="1" t="n">
        <v>61</v>
      </c>
      <c r="AE7" s="1" t="n">
        <v>4.61</v>
      </c>
    </row>
    <row r="8" customFormat="false" ht="13.5" hidden="false" customHeight="false" outlineLevel="0" collapsed="false">
      <c r="A8" s="1" t="s">
        <v>274</v>
      </c>
      <c r="B8" s="1" t="s">
        <v>31</v>
      </c>
      <c r="C8" s="1" t="s">
        <v>275</v>
      </c>
      <c r="D8" s="1" t="s">
        <v>276</v>
      </c>
      <c r="E8" s="1" t="n">
        <v>2</v>
      </c>
      <c r="F8" s="1" t="s">
        <v>187</v>
      </c>
      <c r="G8" s="1" t="s">
        <v>31</v>
      </c>
      <c r="H8" s="1" t="s">
        <v>277</v>
      </c>
      <c r="I8" s="2" t="n">
        <v>43856</v>
      </c>
      <c r="J8" s="2" t="n">
        <v>43860</v>
      </c>
      <c r="K8" s="1" t="s">
        <v>33</v>
      </c>
      <c r="L8" s="2" t="n">
        <v>43861</v>
      </c>
      <c r="M8" s="2" t="n">
        <v>43868</v>
      </c>
      <c r="N8" s="2" t="n">
        <v>43876</v>
      </c>
      <c r="O8" s="1" t="n">
        <v>0</v>
      </c>
      <c r="P8" s="1" t="n">
        <v>46</v>
      </c>
      <c r="Q8" s="1" t="n">
        <v>25.68211703</v>
      </c>
      <c r="R8" s="2" t="n">
        <v>43860</v>
      </c>
      <c r="S8" s="3" t="n">
        <v>5.24</v>
      </c>
      <c r="T8" s="3" t="n">
        <v>2.171456</v>
      </c>
      <c r="U8" s="3" t="n">
        <v>0.353176</v>
      </c>
      <c r="V8" s="1" t="n">
        <v>205</v>
      </c>
      <c r="W8" s="2" t="n">
        <v>43860</v>
      </c>
      <c r="X8" s="4" t="n">
        <v>5.2</v>
      </c>
      <c r="Y8" s="1" t="n">
        <v>16</v>
      </c>
      <c r="Z8" s="1" t="n">
        <v>19</v>
      </c>
      <c r="AA8" s="1" t="n">
        <v>21</v>
      </c>
      <c r="AB8" s="4" t="n">
        <v>5.9</v>
      </c>
      <c r="AC8" s="4" t="n">
        <v>2.1</v>
      </c>
      <c r="AD8" s="1" t="n">
        <v>55</v>
      </c>
      <c r="AE8" s="1" t="n">
        <v>7.21</v>
      </c>
    </row>
    <row r="9" customFormat="false" ht="13.5" hidden="false" customHeight="false" outlineLevel="0" collapsed="false">
      <c r="A9" s="1" t="s">
        <v>278</v>
      </c>
      <c r="B9" s="1" t="s">
        <v>31</v>
      </c>
      <c r="C9" s="1" t="s">
        <v>279</v>
      </c>
      <c r="D9" s="1" t="s">
        <v>33</v>
      </c>
      <c r="E9" s="1" t="n">
        <v>2</v>
      </c>
      <c r="F9" s="1" t="s">
        <v>187</v>
      </c>
      <c r="G9" s="1" t="s">
        <v>31</v>
      </c>
      <c r="H9" s="1" t="s">
        <v>280</v>
      </c>
      <c r="I9" s="2" t="n">
        <v>43854</v>
      </c>
      <c r="J9" s="2" t="n">
        <v>43859</v>
      </c>
      <c r="K9" s="1" t="s">
        <v>33</v>
      </c>
      <c r="L9" s="2" t="n">
        <v>43860</v>
      </c>
      <c r="M9" s="2" t="n">
        <v>43868</v>
      </c>
      <c r="N9" s="2" t="n">
        <v>43869</v>
      </c>
      <c r="O9" s="1" t="n">
        <v>1</v>
      </c>
      <c r="P9" s="1" t="n">
        <v>21</v>
      </c>
      <c r="Q9" s="1" t="n">
        <v>30.44982699</v>
      </c>
      <c r="R9" s="2" t="n">
        <v>43859</v>
      </c>
      <c r="S9" s="3" t="n">
        <v>7.14</v>
      </c>
      <c r="T9" s="3" t="n">
        <v>1.179528</v>
      </c>
      <c r="U9" s="3" t="n">
        <v>0.39984</v>
      </c>
      <c r="V9" s="1" t="n">
        <v>211</v>
      </c>
      <c r="W9" s="2" t="n">
        <v>43859</v>
      </c>
      <c r="X9" s="4" t="n">
        <v>7.37</v>
      </c>
      <c r="Y9" s="1" t="n">
        <v>37.3</v>
      </c>
      <c r="Z9" s="1" t="n">
        <v>21</v>
      </c>
      <c r="AA9" s="1" t="n">
        <v>48</v>
      </c>
      <c r="AB9" s="4" t="n">
        <v>14.7</v>
      </c>
      <c r="AC9" s="4" t="n">
        <v>5.7</v>
      </c>
      <c r="AD9" s="1" t="n">
        <v>88</v>
      </c>
      <c r="AE9" s="1" t="n">
        <v>8.12</v>
      </c>
    </row>
    <row r="10" customFormat="false" ht="13.5" hidden="false" customHeight="false" outlineLevel="0" collapsed="false">
      <c r="A10" s="1" t="s">
        <v>281</v>
      </c>
      <c r="B10" s="1" t="s">
        <v>31</v>
      </c>
      <c r="C10" s="1" t="s">
        <v>282</v>
      </c>
      <c r="D10" s="1" t="s">
        <v>33</v>
      </c>
      <c r="E10" s="1" t="n">
        <v>2</v>
      </c>
      <c r="F10" s="1" t="s">
        <v>187</v>
      </c>
      <c r="G10" s="1" t="s">
        <v>31</v>
      </c>
      <c r="H10" s="1" t="s">
        <v>283</v>
      </c>
      <c r="I10" s="2" t="n">
        <v>43861</v>
      </c>
      <c r="J10" s="2" t="n">
        <v>43864</v>
      </c>
      <c r="K10" s="1" t="s">
        <v>33</v>
      </c>
      <c r="L10" s="2" t="n">
        <v>43866</v>
      </c>
      <c r="M10" s="2" t="n">
        <v>43867</v>
      </c>
      <c r="N10" s="2" t="n">
        <v>43893</v>
      </c>
      <c r="O10" s="1" t="n">
        <v>1</v>
      </c>
      <c r="P10" s="1" t="n">
        <v>63</v>
      </c>
      <c r="Q10" s="1" t="n">
        <v>19.15708812</v>
      </c>
      <c r="R10" s="2" t="n">
        <v>43864</v>
      </c>
      <c r="S10" s="3" t="n">
        <v>3.86</v>
      </c>
      <c r="T10" s="3" t="n">
        <v>0.86078</v>
      </c>
      <c r="U10" s="3" t="n">
        <v>0.780106</v>
      </c>
      <c r="V10" s="1" t="n">
        <v>145</v>
      </c>
      <c r="W10" s="2" t="n">
        <v>43864</v>
      </c>
      <c r="X10" s="4" t="n">
        <v>4.8</v>
      </c>
      <c r="Y10" s="1" t="n">
        <v>20</v>
      </c>
      <c r="Z10" s="1" t="n">
        <v>28</v>
      </c>
      <c r="AA10" s="1" t="n">
        <v>16</v>
      </c>
      <c r="AB10" s="4" t="n">
        <v>15.3</v>
      </c>
      <c r="AC10" s="4" t="n">
        <v>6.4</v>
      </c>
      <c r="AD10" s="1" t="n">
        <v>84</v>
      </c>
      <c r="AE10" s="1" t="n">
        <v>5.26</v>
      </c>
    </row>
    <row r="11" customFormat="false" ht="13.5" hidden="false" customHeight="false" outlineLevel="0" collapsed="false">
      <c r="A11" s="1" t="s">
        <v>284</v>
      </c>
      <c r="B11" s="1" t="s">
        <v>31</v>
      </c>
      <c r="C11" s="1" t="s">
        <v>285</v>
      </c>
      <c r="D11" s="1" t="s">
        <v>33</v>
      </c>
      <c r="E11" s="1" t="n">
        <v>2</v>
      </c>
      <c r="F11" s="1" t="s">
        <v>187</v>
      </c>
      <c r="G11" s="1" t="s">
        <v>31</v>
      </c>
      <c r="H11" s="1" t="s">
        <v>286</v>
      </c>
      <c r="I11" s="2" t="n">
        <v>43858</v>
      </c>
      <c r="J11" s="2" t="n">
        <v>43861</v>
      </c>
      <c r="K11" s="1" t="s">
        <v>33</v>
      </c>
      <c r="L11" s="2" t="n">
        <v>43862</v>
      </c>
      <c r="M11" s="2" t="n">
        <v>43862</v>
      </c>
      <c r="N11" s="2" t="n">
        <v>43868</v>
      </c>
      <c r="O11" s="1" t="n">
        <v>1</v>
      </c>
      <c r="P11" s="1" t="n">
        <v>27</v>
      </c>
      <c r="Q11" s="1" t="n">
        <v>22.49134948</v>
      </c>
      <c r="R11" s="2" t="n">
        <v>43861</v>
      </c>
      <c r="S11" s="3" t="n">
        <v>6.56</v>
      </c>
      <c r="T11" s="3" t="n">
        <v>1.33824</v>
      </c>
      <c r="U11" s="3" t="n">
        <v>0.43296</v>
      </c>
      <c r="V11" s="1" t="n">
        <v>199</v>
      </c>
      <c r="W11" s="2" t="n">
        <v>43861</v>
      </c>
      <c r="X11" s="4" t="n">
        <v>41.4</v>
      </c>
      <c r="Y11" s="1" t="n">
        <v>16.2</v>
      </c>
      <c r="Z11" s="1" t="n">
        <v>18</v>
      </c>
      <c r="AA11" s="1" t="n">
        <v>20</v>
      </c>
      <c r="AB11" s="4" t="n">
        <v>23</v>
      </c>
      <c r="AC11" s="4" t="n">
        <v>8.5</v>
      </c>
      <c r="AD11" s="1" t="n">
        <v>77</v>
      </c>
      <c r="AE11" s="1" t="n">
        <v>6.14</v>
      </c>
    </row>
    <row r="12" customFormat="false" ht="13.5" hidden="false" customHeight="false" outlineLevel="0" collapsed="false">
      <c r="A12" s="1" t="s">
        <v>287</v>
      </c>
      <c r="B12" s="1" t="s">
        <v>31</v>
      </c>
      <c r="C12" s="1" t="s">
        <v>288</v>
      </c>
      <c r="D12" s="1" t="s">
        <v>33</v>
      </c>
      <c r="E12" s="1" t="n">
        <v>2</v>
      </c>
      <c r="F12" s="1" t="s">
        <v>187</v>
      </c>
      <c r="G12" s="1" t="s">
        <v>31</v>
      </c>
      <c r="H12" s="1" t="s">
        <v>289</v>
      </c>
      <c r="I12" s="2" t="n">
        <v>43854</v>
      </c>
      <c r="J12" s="2" t="n">
        <v>43855</v>
      </c>
      <c r="K12" s="1" t="s">
        <v>33</v>
      </c>
      <c r="L12" s="2" t="n">
        <v>43855</v>
      </c>
      <c r="M12" s="2" t="n">
        <v>43859</v>
      </c>
      <c r="N12" s="2" t="n">
        <v>43884</v>
      </c>
      <c r="O12" s="1" t="n">
        <v>0</v>
      </c>
      <c r="P12" s="1" t="n">
        <v>34</v>
      </c>
      <c r="Q12" s="1" t="n">
        <v>26.66666667</v>
      </c>
      <c r="R12" s="2" t="n">
        <v>43855</v>
      </c>
      <c r="S12" s="3" t="n">
        <v>5.21</v>
      </c>
      <c r="T12" s="3" t="n">
        <v>0.9576</v>
      </c>
      <c r="U12" s="3" t="n">
        <v>0.4452</v>
      </c>
      <c r="V12" s="1" t="n">
        <v>197</v>
      </c>
      <c r="W12" s="2" t="n">
        <v>43856</v>
      </c>
      <c r="X12" s="4" t="n">
        <v>4.33</v>
      </c>
      <c r="Y12" s="1" t="n">
        <v>20</v>
      </c>
      <c r="Z12" s="1" t="n">
        <v>24</v>
      </c>
      <c r="AA12" s="1" t="n">
        <v>26</v>
      </c>
      <c r="AB12" s="4" t="n">
        <v>6.8</v>
      </c>
      <c r="AC12" s="4" t="n">
        <v>2.4</v>
      </c>
      <c r="AD12" s="1" t="n">
        <v>66</v>
      </c>
      <c r="AE12" s="1" t="n">
        <v>5.05</v>
      </c>
    </row>
    <row r="13" customFormat="false" ht="13.5" hidden="false" customHeight="false" outlineLevel="0" collapsed="false">
      <c r="A13" s="1" t="s">
        <v>290</v>
      </c>
      <c r="B13" s="1" t="s">
        <v>54</v>
      </c>
      <c r="C13" s="1" t="s">
        <v>33</v>
      </c>
      <c r="D13" s="1" t="s">
        <v>33</v>
      </c>
      <c r="E13" s="1" t="n">
        <v>2</v>
      </c>
      <c r="F13" s="1" t="s">
        <v>33</v>
      </c>
      <c r="G13" s="1" t="s">
        <v>31</v>
      </c>
      <c r="H13" s="1" t="s">
        <v>291</v>
      </c>
      <c r="I13" s="2" t="n">
        <v>43856</v>
      </c>
      <c r="J13" s="2" t="n">
        <v>43861</v>
      </c>
      <c r="K13" s="1" t="s">
        <v>33</v>
      </c>
      <c r="L13" s="2" t="n">
        <v>43861</v>
      </c>
      <c r="M13" s="2" t="s">
        <v>33</v>
      </c>
      <c r="N13" s="2" t="n">
        <v>43890</v>
      </c>
      <c r="O13" s="1" t="n">
        <v>0</v>
      </c>
      <c r="P13" s="1" t="n">
        <v>54</v>
      </c>
      <c r="Q13" s="1" t="n">
        <v>26.43807082</v>
      </c>
      <c r="R13" s="2" t="n">
        <v>43861</v>
      </c>
      <c r="S13" s="3" t="n">
        <v>4.83</v>
      </c>
      <c r="T13" s="3" t="n">
        <v>1.86921</v>
      </c>
      <c r="U13" s="3" t="n">
        <v>0.18837</v>
      </c>
      <c r="V13" s="1" t="n">
        <v>181</v>
      </c>
      <c r="W13" s="2" t="n">
        <v>43861</v>
      </c>
      <c r="X13" s="4" t="n">
        <v>2.4</v>
      </c>
      <c r="Y13" s="1" t="n">
        <v>21</v>
      </c>
      <c r="Z13" s="1" t="n">
        <v>22</v>
      </c>
      <c r="AA13" s="1" t="n">
        <v>16</v>
      </c>
      <c r="AB13" s="4" t="n">
        <v>6.2</v>
      </c>
      <c r="AC13" s="4" t="n">
        <v>2.1</v>
      </c>
      <c r="AD13" s="1" t="n">
        <v>60</v>
      </c>
      <c r="AE13" s="1" t="n">
        <v>6.2</v>
      </c>
    </row>
    <row r="14" customFormat="false" ht="13.5" hidden="false" customHeight="false" outlineLevel="0" collapsed="false">
      <c r="A14" s="1" t="s">
        <v>292</v>
      </c>
      <c r="B14" s="1" t="s">
        <v>31</v>
      </c>
      <c r="C14" s="1" t="s">
        <v>293</v>
      </c>
      <c r="D14" s="1" t="s">
        <v>33</v>
      </c>
      <c r="E14" s="1" t="n">
        <v>2</v>
      </c>
      <c r="F14" s="1" t="s">
        <v>187</v>
      </c>
      <c r="G14" s="1" t="s">
        <v>31</v>
      </c>
      <c r="H14" s="1" t="s">
        <v>294</v>
      </c>
      <c r="I14" s="2" t="n">
        <v>43853</v>
      </c>
      <c r="J14" s="2" t="n">
        <v>43854</v>
      </c>
      <c r="K14" s="1" t="s">
        <v>33</v>
      </c>
      <c r="L14" s="2" t="n">
        <v>43855</v>
      </c>
      <c r="M14" s="2" t="n">
        <v>43868</v>
      </c>
      <c r="N14" s="2" t="n">
        <v>43868</v>
      </c>
      <c r="O14" s="1" t="n">
        <v>1</v>
      </c>
      <c r="P14" s="1" t="n">
        <v>31</v>
      </c>
      <c r="Q14" s="1" t="n">
        <v>23.1206236</v>
      </c>
      <c r="R14" s="2" t="n">
        <v>43854</v>
      </c>
      <c r="S14" s="3" t="n">
        <v>5.71</v>
      </c>
      <c r="T14" s="3" t="n">
        <v>1.3</v>
      </c>
      <c r="U14" s="3" t="n">
        <v>0.8</v>
      </c>
      <c r="V14" s="1" t="n">
        <v>213</v>
      </c>
      <c r="W14" s="2" t="n">
        <v>43855</v>
      </c>
      <c r="X14" s="4" t="n">
        <v>1.53</v>
      </c>
      <c r="Y14" s="1" t="n">
        <v>22</v>
      </c>
      <c r="Z14" s="1" t="n">
        <v>24</v>
      </c>
      <c r="AA14" s="1" t="n">
        <v>19</v>
      </c>
      <c r="AB14" s="4" t="n">
        <v>11.2</v>
      </c>
      <c r="AC14" s="4" t="n">
        <v>4.6</v>
      </c>
      <c r="AD14" s="1" t="n">
        <v>94</v>
      </c>
      <c r="AE14" s="1" t="n">
        <v>4.96</v>
      </c>
    </row>
    <row r="15" customFormat="false" ht="13.5" hidden="false" customHeight="false" outlineLevel="0" collapsed="false">
      <c r="A15" s="1" t="s">
        <v>295</v>
      </c>
      <c r="B15" s="1" t="s">
        <v>31</v>
      </c>
      <c r="C15" s="1" t="s">
        <v>296</v>
      </c>
      <c r="D15" s="1" t="s">
        <v>33</v>
      </c>
      <c r="E15" s="1" t="n">
        <v>2</v>
      </c>
      <c r="F15" s="1" t="s">
        <v>187</v>
      </c>
      <c r="G15" s="1" t="s">
        <v>31</v>
      </c>
      <c r="H15" s="1" t="s">
        <v>297</v>
      </c>
      <c r="I15" s="2" t="n">
        <v>43852</v>
      </c>
      <c r="J15" s="2" t="n">
        <v>43855</v>
      </c>
      <c r="K15" s="1" t="s">
        <v>33</v>
      </c>
      <c r="L15" s="2" t="n">
        <v>43856</v>
      </c>
      <c r="M15" s="2" t="n">
        <v>43867</v>
      </c>
      <c r="N15" s="2" t="n">
        <v>43879</v>
      </c>
      <c r="O15" s="1" t="n">
        <v>0</v>
      </c>
      <c r="P15" s="1" t="n">
        <v>37</v>
      </c>
      <c r="Q15" s="1" t="n">
        <v>21.484375</v>
      </c>
      <c r="R15" s="2" t="n">
        <v>43855</v>
      </c>
      <c r="S15" s="3" t="n">
        <v>4.18</v>
      </c>
      <c r="T15" s="3" t="n">
        <v>2.1</v>
      </c>
      <c r="U15" s="3" t="n">
        <v>0.3</v>
      </c>
      <c r="V15" s="1" t="n">
        <v>217</v>
      </c>
      <c r="W15" s="2" t="n">
        <v>43855</v>
      </c>
      <c r="X15" s="4" t="n">
        <v>2.44</v>
      </c>
      <c r="Y15" s="1" t="n">
        <v>17</v>
      </c>
      <c r="Z15" s="1" t="n">
        <v>20</v>
      </c>
      <c r="AA15" s="1" t="n">
        <v>18</v>
      </c>
      <c r="AB15" s="4" t="n">
        <v>6.9</v>
      </c>
      <c r="AC15" s="4" t="n">
        <v>2.8</v>
      </c>
      <c r="AD15" s="1" t="n">
        <v>62</v>
      </c>
      <c r="AE15" s="1" t="n">
        <v>4.76</v>
      </c>
    </row>
    <row r="16" customFormat="false" ht="13.5" hidden="false" customHeight="false" outlineLevel="0" collapsed="false">
      <c r="A16" s="1" t="s">
        <v>298</v>
      </c>
      <c r="B16" s="1" t="s">
        <v>31</v>
      </c>
      <c r="C16" s="1" t="s">
        <v>299</v>
      </c>
      <c r="D16" s="1" t="s">
        <v>33</v>
      </c>
      <c r="E16" s="1" t="n">
        <v>2</v>
      </c>
      <c r="F16" s="1" t="s">
        <v>187</v>
      </c>
      <c r="G16" s="1" t="s">
        <v>31</v>
      </c>
      <c r="H16" s="1" t="s">
        <v>300</v>
      </c>
      <c r="I16" s="2" t="n">
        <v>43858</v>
      </c>
      <c r="J16" s="2" t="n">
        <v>43859</v>
      </c>
      <c r="K16" s="1" t="s">
        <v>33</v>
      </c>
      <c r="L16" s="2" t="n">
        <v>43859</v>
      </c>
      <c r="M16" s="2" t="n">
        <v>43862</v>
      </c>
      <c r="N16" s="2" t="n">
        <v>43883</v>
      </c>
      <c r="O16" s="1" t="n">
        <v>1</v>
      </c>
      <c r="P16" s="1" t="n">
        <v>59</v>
      </c>
      <c r="Q16" s="1" t="n">
        <v>20.2812331</v>
      </c>
      <c r="R16" s="2" t="n">
        <v>43859</v>
      </c>
      <c r="S16" s="3" t="n">
        <v>7</v>
      </c>
      <c r="T16" s="3" t="n">
        <v>1.253</v>
      </c>
      <c r="U16" s="3" t="n">
        <v>0.77</v>
      </c>
      <c r="V16" s="1" t="n">
        <v>198</v>
      </c>
      <c r="W16" s="2" t="n">
        <v>43859</v>
      </c>
      <c r="X16" s="4" t="n">
        <v>17.3</v>
      </c>
      <c r="Y16" s="1" t="n">
        <v>21</v>
      </c>
      <c r="Z16" s="1" t="n">
        <v>33</v>
      </c>
      <c r="AA16" s="1" t="n">
        <v>40</v>
      </c>
      <c r="AB16" s="4" t="n">
        <v>9.6</v>
      </c>
      <c r="AC16" s="4" t="n">
        <v>2.9</v>
      </c>
      <c r="AD16" s="1" t="n">
        <v>110</v>
      </c>
      <c r="AE16" s="1" t="n">
        <v>4.87</v>
      </c>
    </row>
    <row r="17" customFormat="false" ht="13.5" hidden="false" customHeight="false" outlineLevel="0" collapsed="false">
      <c r="A17" s="1" t="s">
        <v>301</v>
      </c>
      <c r="B17" s="1" t="s">
        <v>31</v>
      </c>
      <c r="C17" s="1" t="s">
        <v>302</v>
      </c>
      <c r="D17" s="1" t="s">
        <v>33</v>
      </c>
      <c r="E17" s="1" t="n">
        <v>2</v>
      </c>
      <c r="F17" s="1" t="s">
        <v>187</v>
      </c>
      <c r="G17" s="1" t="s">
        <v>31</v>
      </c>
      <c r="H17" s="1" t="s">
        <v>303</v>
      </c>
      <c r="I17" s="2" t="n">
        <v>43858</v>
      </c>
      <c r="J17" s="2" t="n">
        <v>43862</v>
      </c>
      <c r="K17" s="1" t="s">
        <v>33</v>
      </c>
      <c r="L17" s="2" t="n">
        <v>43863</v>
      </c>
      <c r="M17" s="2" t="n">
        <v>43863</v>
      </c>
      <c r="N17" s="2" t="n">
        <v>43874</v>
      </c>
      <c r="O17" s="1" t="n">
        <v>1</v>
      </c>
      <c r="P17" s="1" t="n">
        <v>39</v>
      </c>
      <c r="Q17" s="1" t="n">
        <v>24.22145329</v>
      </c>
      <c r="R17" s="2" t="n">
        <v>43862</v>
      </c>
      <c r="S17" s="3" t="n">
        <v>3.01</v>
      </c>
      <c r="T17" s="3" t="n">
        <v>0.750694</v>
      </c>
      <c r="U17" s="3" t="n">
        <v>0.362404</v>
      </c>
      <c r="V17" s="1" t="n">
        <v>76</v>
      </c>
      <c r="W17" s="2" t="n">
        <v>43862</v>
      </c>
      <c r="X17" s="4" t="n">
        <v>9.7</v>
      </c>
      <c r="Y17" s="1" t="n">
        <v>17.7</v>
      </c>
      <c r="Z17" s="1" t="n">
        <v>30</v>
      </c>
      <c r="AA17" s="1" t="n">
        <v>13</v>
      </c>
      <c r="AB17" s="4" t="n">
        <v>31.4</v>
      </c>
      <c r="AC17" s="4" t="n">
        <v>13.8</v>
      </c>
      <c r="AD17" s="1" t="n">
        <v>84</v>
      </c>
      <c r="AE17" s="1" t="n">
        <v>5.5</v>
      </c>
    </row>
    <row r="18" customFormat="false" ht="13.5" hidden="false" customHeight="false" outlineLevel="0" collapsed="false">
      <c r="A18" s="1" t="s">
        <v>304</v>
      </c>
      <c r="B18" s="1" t="s">
        <v>31</v>
      </c>
      <c r="C18" s="1" t="s">
        <v>305</v>
      </c>
      <c r="D18" s="1" t="s">
        <v>33</v>
      </c>
      <c r="E18" s="1" t="n">
        <v>2</v>
      </c>
      <c r="F18" s="1" t="s">
        <v>187</v>
      </c>
      <c r="G18" s="1" t="s">
        <v>31</v>
      </c>
      <c r="H18" s="1" t="s">
        <v>306</v>
      </c>
      <c r="I18" s="2" t="n">
        <v>43851</v>
      </c>
      <c r="J18" s="2" t="n">
        <v>43853</v>
      </c>
      <c r="K18" s="1" t="s">
        <v>33</v>
      </c>
      <c r="L18" s="2" t="n">
        <v>43853</v>
      </c>
      <c r="M18" s="2" t="n">
        <v>43863</v>
      </c>
      <c r="N18" s="2" t="n">
        <v>43863</v>
      </c>
      <c r="O18" s="1" t="n">
        <v>1</v>
      </c>
      <c r="P18" s="1" t="n">
        <v>32</v>
      </c>
      <c r="Q18" s="1" t="n">
        <v>30.11621315</v>
      </c>
      <c r="R18" s="2" t="n">
        <v>43854</v>
      </c>
      <c r="S18" s="3" t="n">
        <v>5.6</v>
      </c>
      <c r="T18" s="3" t="n">
        <v>1.9488</v>
      </c>
      <c r="U18" s="3" t="n">
        <v>0.644</v>
      </c>
      <c r="V18" s="1" t="n">
        <v>228</v>
      </c>
      <c r="W18" s="2" t="n">
        <v>43854</v>
      </c>
      <c r="X18" s="4" t="n">
        <v>2.3</v>
      </c>
      <c r="Y18" s="1" t="n">
        <v>35</v>
      </c>
      <c r="Z18" s="1" t="n">
        <v>29</v>
      </c>
      <c r="AA18" s="1" t="n">
        <v>44</v>
      </c>
      <c r="AB18" s="4" t="n">
        <v>12.1</v>
      </c>
      <c r="AC18" s="4" t="n">
        <v>4</v>
      </c>
      <c r="AD18" s="1" t="n">
        <v>82</v>
      </c>
      <c r="AE18" s="1" t="n">
        <v>4.9</v>
      </c>
    </row>
    <row r="19" customFormat="false" ht="13.5" hidden="false" customHeight="false" outlineLevel="0" collapsed="false">
      <c r="A19" s="1" t="s">
        <v>307</v>
      </c>
      <c r="B19" s="1" t="s">
        <v>31</v>
      </c>
      <c r="C19" s="1" t="s">
        <v>308</v>
      </c>
      <c r="D19" s="1" t="s">
        <v>33</v>
      </c>
      <c r="E19" s="1" t="n">
        <v>2</v>
      </c>
      <c r="F19" s="1" t="s">
        <v>187</v>
      </c>
      <c r="G19" s="1" t="s">
        <v>31</v>
      </c>
      <c r="H19" s="1" t="s">
        <v>309</v>
      </c>
      <c r="I19" s="2" t="n">
        <v>43858</v>
      </c>
      <c r="J19" s="2" t="n">
        <v>43859</v>
      </c>
      <c r="K19" s="1" t="s">
        <v>33</v>
      </c>
      <c r="L19" s="2" t="n">
        <v>43868</v>
      </c>
      <c r="M19" s="2" t="n">
        <v>43859</v>
      </c>
      <c r="N19" s="2" t="n">
        <v>43871</v>
      </c>
      <c r="O19" s="1" t="n">
        <v>1</v>
      </c>
      <c r="P19" s="1" t="n">
        <v>20</v>
      </c>
      <c r="Q19" s="1" t="n">
        <v>18.9370029</v>
      </c>
      <c r="R19" s="2" t="n">
        <v>43859</v>
      </c>
      <c r="S19" s="3" t="n">
        <v>6.15</v>
      </c>
      <c r="T19" s="3" t="n">
        <v>1.6</v>
      </c>
      <c r="U19" s="3" t="n">
        <v>0.3</v>
      </c>
      <c r="V19" s="1" t="n">
        <v>202</v>
      </c>
      <c r="W19" s="2" t="n">
        <v>43859</v>
      </c>
      <c r="X19" s="4" t="n">
        <v>15.4</v>
      </c>
      <c r="Y19" s="1" t="n">
        <v>31</v>
      </c>
      <c r="Z19" s="1" t="n">
        <v>28</v>
      </c>
      <c r="AA19" s="1" t="n">
        <v>21</v>
      </c>
      <c r="AB19" s="4" t="n">
        <v>6.8</v>
      </c>
      <c r="AC19" s="4" t="n">
        <v>1.8</v>
      </c>
      <c r="AD19" s="1" t="n">
        <v>92</v>
      </c>
      <c r="AE19" s="1" t="n">
        <v>6.79</v>
      </c>
    </row>
    <row r="20" customFormat="false" ht="13.5" hidden="false" customHeight="false" outlineLevel="0" collapsed="false">
      <c r="A20" s="1" t="s">
        <v>310</v>
      </c>
      <c r="B20" s="1" t="s">
        <v>31</v>
      </c>
      <c r="C20" s="1" t="s">
        <v>311</v>
      </c>
      <c r="D20" s="1" t="s">
        <v>33</v>
      </c>
      <c r="E20" s="1" t="n">
        <v>2</v>
      </c>
      <c r="F20" s="1" t="s">
        <v>187</v>
      </c>
      <c r="G20" s="1" t="s">
        <v>31</v>
      </c>
      <c r="H20" s="1" t="s">
        <v>312</v>
      </c>
      <c r="I20" s="2" t="n">
        <v>43855</v>
      </c>
      <c r="J20" s="2" t="n">
        <v>43855</v>
      </c>
      <c r="K20" s="1" t="s">
        <v>33</v>
      </c>
      <c r="L20" s="2" t="n">
        <v>43855</v>
      </c>
      <c r="M20" s="2" t="n">
        <v>43855</v>
      </c>
      <c r="N20" s="2" t="n">
        <v>43879</v>
      </c>
      <c r="O20" s="1" t="n">
        <v>1</v>
      </c>
      <c r="P20" s="1" t="n">
        <v>46</v>
      </c>
      <c r="Q20" s="1" t="n">
        <v>26.7299275</v>
      </c>
      <c r="R20" s="2" t="n">
        <v>43855</v>
      </c>
      <c r="S20" s="3" t="n">
        <v>5.62</v>
      </c>
      <c r="T20" s="3" t="n">
        <v>1</v>
      </c>
      <c r="U20" s="3" t="n">
        <v>0.4</v>
      </c>
      <c r="V20" s="1" t="n">
        <v>179</v>
      </c>
      <c r="W20" s="2" t="n">
        <v>43856</v>
      </c>
      <c r="X20" s="4" t="n">
        <v>6.85</v>
      </c>
      <c r="Y20" s="1" t="n">
        <v>30</v>
      </c>
      <c r="Z20" s="1" t="n">
        <v>27</v>
      </c>
      <c r="AA20" s="1" t="n">
        <v>68</v>
      </c>
      <c r="AB20" s="4" t="n">
        <v>10.4</v>
      </c>
      <c r="AC20" s="4" t="n">
        <v>2.8</v>
      </c>
      <c r="AD20" s="1" t="n">
        <v>100</v>
      </c>
      <c r="AE20" s="1" t="n">
        <v>9.91</v>
      </c>
    </row>
    <row r="21" customFormat="false" ht="13.5" hidden="false" customHeight="false" outlineLevel="0" collapsed="false">
      <c r="A21" s="1" t="s">
        <v>313</v>
      </c>
      <c r="B21" s="1" t="s">
        <v>31</v>
      </c>
      <c r="C21" s="1" t="s">
        <v>314</v>
      </c>
      <c r="D21" s="1" t="s">
        <v>33</v>
      </c>
      <c r="E21" s="1" t="n">
        <v>2</v>
      </c>
      <c r="F21" s="1" t="s">
        <v>236</v>
      </c>
      <c r="G21" s="1" t="s">
        <v>31</v>
      </c>
      <c r="H21" s="1" t="s">
        <v>315</v>
      </c>
      <c r="I21" s="2" t="n">
        <v>43858</v>
      </c>
      <c r="J21" s="2" t="n">
        <v>43861</v>
      </c>
      <c r="K21" s="1" t="s">
        <v>33</v>
      </c>
      <c r="L21" s="2" t="n">
        <v>43862</v>
      </c>
      <c r="M21" s="2" t="n">
        <v>43862</v>
      </c>
      <c r="N21" s="2" t="n">
        <v>43873</v>
      </c>
      <c r="O21" s="1" t="n">
        <v>1</v>
      </c>
      <c r="P21" s="1" t="n">
        <v>60</v>
      </c>
      <c r="Q21" s="1" t="n">
        <v>28.9007795</v>
      </c>
      <c r="R21" s="2" t="n">
        <v>43861</v>
      </c>
      <c r="S21" s="3" t="n">
        <v>5.03</v>
      </c>
      <c r="T21" s="3" t="n">
        <v>1.34804</v>
      </c>
      <c r="U21" s="3" t="n">
        <v>0.37222</v>
      </c>
      <c r="V21" s="1" t="n">
        <v>209</v>
      </c>
      <c r="W21" s="2" t="n">
        <v>43861</v>
      </c>
      <c r="X21" s="4" t="n">
        <v>0.5</v>
      </c>
      <c r="Y21" s="1" t="n">
        <v>32.6</v>
      </c>
      <c r="Z21" s="1" t="n">
        <v>26</v>
      </c>
      <c r="AA21" s="1" t="n">
        <v>18</v>
      </c>
      <c r="AB21" s="4" t="n">
        <v>27</v>
      </c>
      <c r="AC21" s="4" t="n">
        <v>9.6</v>
      </c>
      <c r="AD21" s="1" t="n">
        <v>75</v>
      </c>
      <c r="AE21" s="1" t="n">
        <v>4.47</v>
      </c>
    </row>
    <row r="22" customFormat="false" ht="13.5" hidden="false" customHeight="false" outlineLevel="0" collapsed="false">
      <c r="A22" s="1" t="s">
        <v>316</v>
      </c>
      <c r="B22" s="1" t="s">
        <v>31</v>
      </c>
      <c r="C22" s="1" t="s">
        <v>317</v>
      </c>
      <c r="D22" s="1" t="s">
        <v>33</v>
      </c>
      <c r="E22" s="1" t="n">
        <v>2</v>
      </c>
      <c r="F22" s="1" t="s">
        <v>236</v>
      </c>
      <c r="G22" s="1" t="s">
        <v>31</v>
      </c>
      <c r="H22" s="1" t="s">
        <v>318</v>
      </c>
      <c r="I22" s="2" t="n">
        <v>43852</v>
      </c>
      <c r="J22" s="2" t="n">
        <v>43856</v>
      </c>
      <c r="K22" s="1" t="s">
        <v>33</v>
      </c>
      <c r="L22" s="2" t="n">
        <v>43857</v>
      </c>
      <c r="M22" s="2" t="n">
        <v>43868</v>
      </c>
      <c r="N22" s="2" t="n">
        <v>43876</v>
      </c>
      <c r="O22" s="1" t="n">
        <v>0</v>
      </c>
      <c r="P22" s="1" t="n">
        <v>45</v>
      </c>
      <c r="Q22" s="1" t="n">
        <v>21.85491276</v>
      </c>
      <c r="R22" s="2" t="n">
        <v>43856</v>
      </c>
      <c r="S22" s="3" t="n">
        <v>6.8</v>
      </c>
      <c r="T22" s="3" t="n">
        <v>1.7272</v>
      </c>
      <c r="U22" s="3" t="n">
        <v>0.4216</v>
      </c>
      <c r="V22" s="1" t="n">
        <v>261</v>
      </c>
      <c r="W22" s="2" t="n">
        <v>43856</v>
      </c>
      <c r="X22" s="4" t="n">
        <v>9.37</v>
      </c>
      <c r="Y22" s="1" t="n">
        <v>13</v>
      </c>
      <c r="Z22" s="1" t="n">
        <v>21</v>
      </c>
      <c r="AA22" s="1" t="n">
        <v>16</v>
      </c>
      <c r="AB22" s="4" t="n">
        <v>4</v>
      </c>
      <c r="AC22" s="4" t="n">
        <v>0.8</v>
      </c>
      <c r="AD22" s="1" t="n">
        <v>59</v>
      </c>
      <c r="AE22" s="1" t="n">
        <v>6.19</v>
      </c>
    </row>
    <row r="23" customFormat="false" ht="13.5" hidden="false" customHeight="false" outlineLevel="0" collapsed="false">
      <c r="A23" s="1" t="s">
        <v>319</v>
      </c>
      <c r="B23" s="1" t="s">
        <v>31</v>
      </c>
      <c r="C23" s="1" t="s">
        <v>320</v>
      </c>
      <c r="D23" s="1" t="s">
        <v>33</v>
      </c>
      <c r="E23" s="1" t="n">
        <v>2</v>
      </c>
      <c r="F23" s="1" t="s">
        <v>236</v>
      </c>
      <c r="G23" s="1" t="s">
        <v>31</v>
      </c>
      <c r="H23" s="1" t="s">
        <v>321</v>
      </c>
      <c r="I23" s="2" t="n">
        <v>43842</v>
      </c>
      <c r="J23" s="2" t="n">
        <v>43856</v>
      </c>
      <c r="K23" s="1" t="s">
        <v>33</v>
      </c>
      <c r="L23" s="2" t="n">
        <v>43856</v>
      </c>
      <c r="M23" s="2" t="n">
        <v>43856</v>
      </c>
      <c r="N23" s="2" t="n">
        <v>43894</v>
      </c>
      <c r="O23" s="1" t="n">
        <v>1</v>
      </c>
      <c r="P23" s="1" t="n">
        <v>43</v>
      </c>
      <c r="Q23" s="1" t="n">
        <v>20.76124567</v>
      </c>
      <c r="R23" s="2" t="n">
        <v>43856</v>
      </c>
      <c r="S23" s="3" t="n">
        <v>8.17</v>
      </c>
      <c r="T23" s="3" t="n">
        <v>2.6</v>
      </c>
      <c r="U23" s="3" t="n">
        <v>1</v>
      </c>
      <c r="V23" s="1" t="n">
        <v>248</v>
      </c>
      <c r="W23" s="2" t="n">
        <v>43856</v>
      </c>
      <c r="X23" s="4" t="n">
        <v>26.41</v>
      </c>
      <c r="Y23" s="1" t="n">
        <v>23.1</v>
      </c>
      <c r="Z23" s="1" t="n">
        <v>23</v>
      </c>
      <c r="AA23" s="1" t="n">
        <v>23</v>
      </c>
      <c r="AB23" s="4" t="n">
        <v>31.3</v>
      </c>
      <c r="AC23" s="4" t="n">
        <v>11.1</v>
      </c>
      <c r="AD23" s="1" t="n">
        <v>89</v>
      </c>
      <c r="AE23" s="1" t="n">
        <v>12.86</v>
      </c>
    </row>
    <row r="24" customFormat="false" ht="13.5" hidden="false" customHeight="false" outlineLevel="0" collapsed="false">
      <c r="A24" s="1" t="s">
        <v>322</v>
      </c>
      <c r="B24" s="1" t="s">
        <v>31</v>
      </c>
      <c r="C24" s="1" t="s">
        <v>323</v>
      </c>
      <c r="D24" s="1" t="s">
        <v>33</v>
      </c>
      <c r="E24" s="1" t="n">
        <v>2</v>
      </c>
      <c r="F24" s="1" t="s">
        <v>236</v>
      </c>
      <c r="G24" s="1" t="s">
        <v>31</v>
      </c>
      <c r="H24" s="1" t="s">
        <v>324</v>
      </c>
      <c r="I24" s="2" t="n">
        <v>43860</v>
      </c>
      <c r="J24" s="2" t="n">
        <v>43863</v>
      </c>
      <c r="K24" s="1" t="s">
        <v>33</v>
      </c>
      <c r="L24" s="2" t="n">
        <v>43864</v>
      </c>
      <c r="M24" s="2" t="n">
        <v>43864</v>
      </c>
      <c r="N24" s="2" t="n">
        <v>43884</v>
      </c>
      <c r="O24" s="1" t="n">
        <v>1</v>
      </c>
      <c r="P24" s="1" t="n">
        <v>44</v>
      </c>
      <c r="Q24" s="1" t="n">
        <v>22.83737024</v>
      </c>
      <c r="R24" s="2" t="n">
        <v>43863</v>
      </c>
      <c r="S24" s="3" t="n">
        <v>5.97</v>
      </c>
      <c r="T24" s="3" t="n">
        <v>2.282928</v>
      </c>
      <c r="U24" s="3" t="n">
        <v>0.641178</v>
      </c>
      <c r="V24" s="1" t="n">
        <v>137</v>
      </c>
      <c r="W24" s="2" t="n">
        <v>43863</v>
      </c>
      <c r="X24" s="4" t="n">
        <v>1.7</v>
      </c>
      <c r="Y24" s="1" t="n">
        <v>20.9</v>
      </c>
      <c r="Z24" s="1" t="n">
        <v>20</v>
      </c>
      <c r="AA24" s="1" t="n">
        <v>22</v>
      </c>
      <c r="AB24" s="4" t="n">
        <v>14.9</v>
      </c>
      <c r="AC24" s="4" t="n">
        <v>5.9</v>
      </c>
      <c r="AD24" s="1" t="n">
        <v>70</v>
      </c>
      <c r="AE24" s="1" t="n">
        <v>7.59</v>
      </c>
    </row>
    <row r="25" customFormat="false" ht="13.5" hidden="false" customHeight="false" outlineLevel="0" collapsed="false">
      <c r="A25" s="1" t="s">
        <v>325</v>
      </c>
      <c r="B25" s="1" t="s">
        <v>31</v>
      </c>
      <c r="C25" s="1" t="s">
        <v>326</v>
      </c>
      <c r="D25" s="1" t="s">
        <v>33</v>
      </c>
      <c r="E25" s="1" t="n">
        <v>2</v>
      </c>
      <c r="F25" s="1" t="s">
        <v>236</v>
      </c>
      <c r="G25" s="1" t="s">
        <v>31</v>
      </c>
      <c r="H25" s="1" t="s">
        <v>327</v>
      </c>
      <c r="I25" s="2" t="n">
        <v>43862</v>
      </c>
      <c r="J25" s="2" t="n">
        <v>43863</v>
      </c>
      <c r="K25" s="1" t="s">
        <v>33</v>
      </c>
      <c r="L25" s="2" t="n">
        <v>43864</v>
      </c>
      <c r="M25" s="2" t="n">
        <v>43864</v>
      </c>
      <c r="N25" s="2" t="n">
        <v>43900</v>
      </c>
      <c r="O25" s="1" t="n">
        <v>0</v>
      </c>
      <c r="P25" s="1" t="n">
        <v>56</v>
      </c>
      <c r="Q25" s="1" t="n">
        <v>20.44913742</v>
      </c>
      <c r="R25" s="2" t="n">
        <v>43863</v>
      </c>
      <c r="S25" s="3" t="n">
        <v>4.01</v>
      </c>
      <c r="T25" s="3" t="n">
        <v>1.2</v>
      </c>
      <c r="U25" s="3" t="n">
        <v>0.4191</v>
      </c>
      <c r="V25" s="1" t="n">
        <v>206</v>
      </c>
      <c r="W25" s="2" t="n">
        <v>43863</v>
      </c>
      <c r="X25" s="4" t="n">
        <v>1.7</v>
      </c>
      <c r="Y25" s="1" t="n">
        <v>31.2</v>
      </c>
      <c r="Z25" s="1" t="n">
        <v>41</v>
      </c>
      <c r="AA25" s="1" t="n">
        <v>14</v>
      </c>
      <c r="AB25" s="4" t="n">
        <v>5.2</v>
      </c>
      <c r="AC25" s="4" t="n">
        <v>2.2</v>
      </c>
      <c r="AD25" s="1" t="n">
        <v>65</v>
      </c>
      <c r="AE25" s="1" t="n">
        <v>8.72</v>
      </c>
    </row>
    <row r="26" customFormat="false" ht="13.5" hidden="false" customHeight="false" outlineLevel="0" collapsed="false">
      <c r="A26" s="1" t="s">
        <v>328</v>
      </c>
      <c r="B26" s="1" t="s">
        <v>31</v>
      </c>
      <c r="C26" s="1" t="s">
        <v>329</v>
      </c>
      <c r="D26" s="1" t="s">
        <v>33</v>
      </c>
      <c r="E26" s="1" t="n">
        <v>2</v>
      </c>
      <c r="F26" s="1" t="s">
        <v>236</v>
      </c>
      <c r="G26" s="1" t="s">
        <v>31</v>
      </c>
      <c r="H26" s="1" t="s">
        <v>330</v>
      </c>
      <c r="I26" s="2" t="n">
        <v>43856</v>
      </c>
      <c r="J26" s="2" t="n">
        <v>43861</v>
      </c>
      <c r="K26" s="1" t="s">
        <v>33</v>
      </c>
      <c r="L26" s="2" t="n">
        <v>43864</v>
      </c>
      <c r="M26" s="2" t="n">
        <v>43864</v>
      </c>
      <c r="N26" s="2" t="n">
        <v>43869</v>
      </c>
      <c r="O26" s="1" t="n">
        <v>1</v>
      </c>
      <c r="P26" s="1" t="n">
        <v>43</v>
      </c>
      <c r="Q26" s="1" t="n">
        <v>26.81359045</v>
      </c>
      <c r="R26" s="2" t="n">
        <v>43861</v>
      </c>
      <c r="S26" s="3" t="n">
        <v>5.08</v>
      </c>
      <c r="T26" s="3" t="n">
        <v>0.773176</v>
      </c>
      <c r="U26" s="3" t="n">
        <v>0.52832</v>
      </c>
      <c r="V26" s="3" t="n">
        <v>183</v>
      </c>
      <c r="W26" s="2" t="n">
        <v>43861</v>
      </c>
      <c r="X26" s="3" t="n">
        <v>45.3</v>
      </c>
      <c r="Y26" s="3" t="n">
        <v>43.8</v>
      </c>
      <c r="Z26" s="3" t="n">
        <v>31</v>
      </c>
      <c r="AA26" s="3" t="n">
        <v>49</v>
      </c>
      <c r="AB26" s="3" t="n">
        <v>36.5</v>
      </c>
      <c r="AC26" s="3" t="n">
        <v>16.2</v>
      </c>
      <c r="AD26" s="3" t="n">
        <v>71</v>
      </c>
      <c r="AE26" s="1" t="n">
        <v>5.4</v>
      </c>
    </row>
    <row r="27" customFormat="false" ht="13.5" hidden="false" customHeight="false" outlineLevel="0" collapsed="false">
      <c r="A27" s="1" t="s">
        <v>331</v>
      </c>
      <c r="B27" s="1" t="s">
        <v>31</v>
      </c>
      <c r="C27" s="1" t="s">
        <v>331</v>
      </c>
      <c r="D27" s="1" t="s">
        <v>33</v>
      </c>
      <c r="E27" s="1" t="n">
        <v>2</v>
      </c>
      <c r="F27" s="1" t="s">
        <v>248</v>
      </c>
      <c r="G27" s="1" t="s">
        <v>31</v>
      </c>
      <c r="H27" s="1" t="s">
        <v>331</v>
      </c>
      <c r="I27" s="2" t="n">
        <v>43861</v>
      </c>
      <c r="J27" s="2" t="n">
        <v>43861</v>
      </c>
      <c r="K27" s="1" t="s">
        <v>33</v>
      </c>
      <c r="L27" s="2" t="n">
        <v>43862</v>
      </c>
      <c r="M27" s="2" t="n">
        <v>43862</v>
      </c>
      <c r="N27" s="2" t="n">
        <v>43901</v>
      </c>
      <c r="O27" s="1" t="n">
        <v>0</v>
      </c>
      <c r="P27" s="1" t="n">
        <v>55</v>
      </c>
      <c r="Q27" s="1" t="n">
        <v>21.71806609</v>
      </c>
      <c r="R27" s="2" t="n">
        <v>43861</v>
      </c>
      <c r="S27" s="3" t="n">
        <v>10</v>
      </c>
      <c r="T27" s="3" t="n">
        <v>1.6</v>
      </c>
      <c r="U27" s="3" t="n">
        <v>0.76</v>
      </c>
      <c r="V27" s="1" t="n">
        <v>290</v>
      </c>
      <c r="W27" s="2" t="n">
        <v>43861</v>
      </c>
      <c r="X27" s="4" t="n">
        <v>1.3</v>
      </c>
      <c r="Y27" s="1" t="n">
        <v>14</v>
      </c>
      <c r="Z27" s="1" t="n">
        <v>20</v>
      </c>
      <c r="AA27" s="1" t="n">
        <v>29</v>
      </c>
      <c r="AB27" s="4" t="n">
        <v>8.6</v>
      </c>
      <c r="AC27" s="4" t="n">
        <v>2.8</v>
      </c>
      <c r="AD27" s="1" t="n">
        <v>66</v>
      </c>
      <c r="AE27" s="1" t="n">
        <v>6.6</v>
      </c>
    </row>
    <row r="28" customFormat="false" ht="13.5" hidden="false" customHeight="false" outlineLevel="0" collapsed="false">
      <c r="A28" s="1" t="s">
        <v>332</v>
      </c>
      <c r="B28" s="1" t="s">
        <v>31</v>
      </c>
      <c r="C28" s="1" t="s">
        <v>332</v>
      </c>
      <c r="D28" s="1" t="s">
        <v>33</v>
      </c>
      <c r="E28" s="1" t="n">
        <v>2</v>
      </c>
      <c r="F28" s="1" t="s">
        <v>248</v>
      </c>
      <c r="G28" s="1" t="s">
        <v>31</v>
      </c>
      <c r="H28" s="1" t="s">
        <v>332</v>
      </c>
      <c r="I28" s="2" t="n">
        <v>43860</v>
      </c>
      <c r="J28" s="2" t="n">
        <v>43862</v>
      </c>
      <c r="K28" s="1" t="s">
        <v>33</v>
      </c>
      <c r="L28" s="2" t="n">
        <v>43863</v>
      </c>
      <c r="M28" s="2" t="n">
        <v>43863</v>
      </c>
      <c r="N28" s="2" t="n">
        <v>43895</v>
      </c>
      <c r="O28" s="1" t="n">
        <v>1</v>
      </c>
      <c r="P28" s="1" t="n">
        <v>18</v>
      </c>
      <c r="Q28" s="1" t="n">
        <v>20.06095444</v>
      </c>
      <c r="R28" s="2" t="n">
        <v>43862</v>
      </c>
      <c r="S28" s="3" t="n">
        <v>6.74</v>
      </c>
      <c r="T28" s="3" t="n">
        <v>1.6</v>
      </c>
      <c r="U28" s="3" t="n">
        <v>0.5</v>
      </c>
      <c r="V28" s="1" t="n">
        <v>215</v>
      </c>
      <c r="W28" s="2" t="n">
        <v>43862</v>
      </c>
      <c r="X28" s="4" t="n">
        <v>0.5</v>
      </c>
      <c r="Y28" s="1" t="n">
        <v>9.6</v>
      </c>
      <c r="Z28" s="1" t="n">
        <v>19</v>
      </c>
      <c r="AA28" s="1" t="n">
        <v>10</v>
      </c>
      <c r="AB28" s="4" t="n">
        <v>11.1</v>
      </c>
      <c r="AC28" s="4" t="n">
        <v>3.9</v>
      </c>
      <c r="AD28" s="1" t="n">
        <v>68</v>
      </c>
      <c r="AE28" s="1" t="n">
        <v>5.61</v>
      </c>
    </row>
    <row r="29" customFormat="false" ht="13.5" hidden="false" customHeight="false" outlineLevel="0" collapsed="false">
      <c r="A29" s="1" t="s">
        <v>333</v>
      </c>
      <c r="B29" s="1" t="s">
        <v>31</v>
      </c>
      <c r="C29" s="1" t="s">
        <v>333</v>
      </c>
      <c r="D29" s="1" t="s">
        <v>33</v>
      </c>
      <c r="E29" s="1" t="n">
        <v>2</v>
      </c>
      <c r="F29" s="1" t="s">
        <v>248</v>
      </c>
      <c r="G29" s="1" t="s">
        <v>31</v>
      </c>
      <c r="H29" s="1" t="s">
        <v>333</v>
      </c>
      <c r="I29" s="2" t="n">
        <v>43858</v>
      </c>
      <c r="J29" s="2" t="n">
        <v>43862</v>
      </c>
      <c r="K29" s="1" t="s">
        <v>33</v>
      </c>
      <c r="L29" s="2" t="n">
        <v>43863</v>
      </c>
      <c r="M29" s="2" t="n">
        <v>43863</v>
      </c>
      <c r="N29" s="2" t="n">
        <v>43869</v>
      </c>
      <c r="O29" s="1" t="n">
        <v>1</v>
      </c>
      <c r="P29" s="1" t="n">
        <v>36</v>
      </c>
      <c r="Q29" s="1" t="n">
        <v>21.8299522</v>
      </c>
      <c r="R29" s="2" t="n">
        <v>43862</v>
      </c>
      <c r="S29" s="3" t="n">
        <v>7.91</v>
      </c>
      <c r="T29" s="3" t="n">
        <v>2.42837</v>
      </c>
      <c r="U29" s="3" t="n">
        <v>0.71981</v>
      </c>
      <c r="V29" s="1" t="n">
        <v>334</v>
      </c>
      <c r="W29" s="2" t="n">
        <v>43862</v>
      </c>
      <c r="X29" s="4" t="n">
        <v>0.1</v>
      </c>
      <c r="Y29" s="1" t="n">
        <v>9.5</v>
      </c>
      <c r="Z29" s="1" t="n">
        <v>13</v>
      </c>
      <c r="AA29" s="1" t="n">
        <v>12</v>
      </c>
      <c r="AB29" s="4" t="n">
        <v>11.9</v>
      </c>
      <c r="AC29" s="4" t="n">
        <v>5</v>
      </c>
      <c r="AD29" s="1" t="n">
        <v>80</v>
      </c>
      <c r="AE29" s="1" t="n">
        <v>7.87</v>
      </c>
    </row>
    <row r="30" customFormat="false" ht="13.5" hidden="false" customHeight="false" outlineLevel="0" collapsed="false">
      <c r="A30" s="1" t="s">
        <v>334</v>
      </c>
      <c r="B30" s="1" t="s">
        <v>31</v>
      </c>
      <c r="C30" s="1" t="s">
        <v>334</v>
      </c>
      <c r="D30" s="1" t="s">
        <v>33</v>
      </c>
      <c r="E30" s="1" t="n">
        <v>2</v>
      </c>
      <c r="F30" s="1" t="s">
        <v>248</v>
      </c>
      <c r="G30" s="1" t="s">
        <v>31</v>
      </c>
      <c r="H30" s="1" t="s">
        <v>334</v>
      </c>
      <c r="I30" s="2" t="n">
        <v>43857</v>
      </c>
      <c r="J30" s="2" t="n">
        <v>43871</v>
      </c>
      <c r="K30" s="1" t="s">
        <v>33</v>
      </c>
      <c r="L30" s="2" t="n">
        <v>43872</v>
      </c>
      <c r="M30" s="2" t="n">
        <v>43872</v>
      </c>
      <c r="N30" s="2" t="n">
        <v>43894</v>
      </c>
      <c r="O30" s="1" t="n">
        <v>0</v>
      </c>
      <c r="P30" s="1" t="n">
        <v>54</v>
      </c>
      <c r="Q30" s="1" t="n">
        <v>24.3910588392529</v>
      </c>
      <c r="R30" s="2" t="n">
        <v>43871</v>
      </c>
      <c r="S30" s="3" t="n">
        <v>4</v>
      </c>
      <c r="T30" s="3" t="n">
        <v>1.372</v>
      </c>
      <c r="U30" s="3" t="n">
        <v>0.372</v>
      </c>
      <c r="V30" s="1" t="n">
        <v>254</v>
      </c>
      <c r="W30" s="2" t="n">
        <v>43871</v>
      </c>
      <c r="X30" s="4" t="n">
        <v>3.5</v>
      </c>
      <c r="Y30" s="1" t="n">
        <v>25.8</v>
      </c>
      <c r="Z30" s="1" t="n">
        <v>23</v>
      </c>
      <c r="AA30" s="1" t="n">
        <v>27</v>
      </c>
      <c r="AB30" s="4" t="n">
        <v>6.9</v>
      </c>
      <c r="AC30" s="4" t="n">
        <v>2.9</v>
      </c>
      <c r="AD30" s="1" t="n">
        <v>84</v>
      </c>
      <c r="AE30" s="1" t="n">
        <v>6.25</v>
      </c>
    </row>
    <row r="31" customFormat="false" ht="13.5" hidden="false" customHeight="false" outlineLevel="0" collapsed="false">
      <c r="A31" s="1" t="s">
        <v>335</v>
      </c>
      <c r="B31" s="1" t="s">
        <v>31</v>
      </c>
      <c r="C31" s="1" t="s">
        <v>335</v>
      </c>
      <c r="D31" s="1" t="s">
        <v>33</v>
      </c>
      <c r="E31" s="1" t="n">
        <v>2</v>
      </c>
      <c r="F31" s="1" t="s">
        <v>248</v>
      </c>
      <c r="G31" s="1" t="s">
        <v>31</v>
      </c>
      <c r="H31" s="1" t="s">
        <v>335</v>
      </c>
      <c r="I31" s="2" t="n">
        <v>43863</v>
      </c>
      <c r="J31" s="2" t="n">
        <v>43866</v>
      </c>
      <c r="K31" s="1" t="s">
        <v>33</v>
      </c>
      <c r="L31" s="2" t="n">
        <v>43867</v>
      </c>
      <c r="M31" s="2" t="n">
        <v>43867</v>
      </c>
      <c r="N31" s="2" t="n">
        <v>43893</v>
      </c>
      <c r="O31" s="1" t="n">
        <v>1</v>
      </c>
      <c r="P31" s="1" t="n">
        <v>37</v>
      </c>
      <c r="Q31" s="1" t="n">
        <v>22.4609375</v>
      </c>
      <c r="R31" s="2" t="n">
        <v>43866</v>
      </c>
      <c r="S31" s="3" t="n">
        <v>4.22</v>
      </c>
      <c r="T31" s="3" t="n">
        <v>1.419608</v>
      </c>
      <c r="U31" s="3" t="n">
        <v>0.292868</v>
      </c>
      <c r="V31" s="3" t="n">
        <v>160</v>
      </c>
      <c r="W31" s="2" t="n">
        <v>43866</v>
      </c>
      <c r="X31" s="3" t="n">
        <v>0.8</v>
      </c>
      <c r="Y31" s="3" t="n">
        <v>12.8</v>
      </c>
      <c r="Z31" s="3" t="n">
        <v>13</v>
      </c>
      <c r="AA31" s="3" t="n">
        <v>13</v>
      </c>
      <c r="AB31" s="3" t="n">
        <v>9</v>
      </c>
      <c r="AC31" s="3" t="n">
        <v>3.3</v>
      </c>
      <c r="AD31" s="3" t="n">
        <v>58</v>
      </c>
      <c r="AE31" s="1" t="n">
        <v>7.56</v>
      </c>
    </row>
    <row r="32" customFormat="false" ht="13.5" hidden="false" customHeight="false" outlineLevel="0" collapsed="false">
      <c r="A32" s="1" t="s">
        <v>336</v>
      </c>
      <c r="B32" s="1" t="s">
        <v>31</v>
      </c>
      <c r="C32" s="1" t="s">
        <v>336</v>
      </c>
      <c r="D32" s="1" t="s">
        <v>33</v>
      </c>
      <c r="E32" s="1" t="n">
        <v>2</v>
      </c>
      <c r="F32" s="1" t="s">
        <v>248</v>
      </c>
      <c r="G32" s="1" t="s">
        <v>31</v>
      </c>
      <c r="H32" s="1" t="s">
        <v>336</v>
      </c>
      <c r="I32" s="2" t="n">
        <v>43859</v>
      </c>
      <c r="J32" s="2" t="n">
        <v>43864</v>
      </c>
      <c r="K32" s="1" t="s">
        <v>33</v>
      </c>
      <c r="L32" s="2" t="n">
        <v>43865</v>
      </c>
      <c r="M32" s="2" t="n">
        <v>43865</v>
      </c>
      <c r="N32" s="2" t="n">
        <v>43897</v>
      </c>
      <c r="O32" s="1" t="n">
        <v>1</v>
      </c>
      <c r="P32" s="1" t="n">
        <v>51</v>
      </c>
      <c r="Q32" s="1" t="n">
        <v>24.08822312</v>
      </c>
      <c r="R32" s="2" t="n">
        <v>43864</v>
      </c>
      <c r="S32" s="3" t="n">
        <v>4.74</v>
      </c>
      <c r="T32" s="3" t="n">
        <v>1.63056</v>
      </c>
      <c r="U32" s="3" t="n">
        <v>0.48822</v>
      </c>
      <c r="V32" s="1" t="n">
        <v>223</v>
      </c>
      <c r="W32" s="2" t="n">
        <v>43864</v>
      </c>
      <c r="X32" s="4" t="n">
        <v>23.2</v>
      </c>
      <c r="Y32" s="1" t="n">
        <v>17.4</v>
      </c>
      <c r="Z32" s="1" t="n">
        <v>22</v>
      </c>
      <c r="AA32" s="1" t="n">
        <v>12</v>
      </c>
      <c r="AB32" s="4" t="n">
        <v>3.4</v>
      </c>
      <c r="AC32" s="4" t="n">
        <v>1.3</v>
      </c>
      <c r="AD32" s="1" t="n">
        <v>60</v>
      </c>
      <c r="AE32" s="1" t="n">
        <v>8.08</v>
      </c>
    </row>
    <row r="33" customFormat="false" ht="13.5" hidden="false" customHeight="false" outlineLevel="0" collapsed="false">
      <c r="A33" s="1" t="s">
        <v>337</v>
      </c>
      <c r="B33" s="1" t="s">
        <v>31</v>
      </c>
      <c r="C33" s="1" t="s">
        <v>337</v>
      </c>
      <c r="D33" s="1" t="s">
        <v>33</v>
      </c>
      <c r="E33" s="1" t="n">
        <v>2</v>
      </c>
      <c r="F33" s="1" t="s">
        <v>248</v>
      </c>
      <c r="G33" s="1" t="s">
        <v>31</v>
      </c>
      <c r="H33" s="1" t="s">
        <v>337</v>
      </c>
      <c r="I33" s="2" t="n">
        <v>43860</v>
      </c>
      <c r="J33" s="2" t="n">
        <v>43863</v>
      </c>
      <c r="K33" s="1" t="s">
        <v>33</v>
      </c>
      <c r="L33" s="2" t="n">
        <v>43864</v>
      </c>
      <c r="M33" s="2" t="n">
        <v>43864</v>
      </c>
      <c r="N33" s="2" t="n">
        <v>43873</v>
      </c>
      <c r="O33" s="1" t="n">
        <v>1</v>
      </c>
      <c r="P33" s="1" t="n">
        <v>48</v>
      </c>
      <c r="Q33" s="1" t="n">
        <v>23.14725512</v>
      </c>
      <c r="R33" s="2" t="n">
        <v>43863</v>
      </c>
      <c r="S33" s="3" t="n">
        <v>4.3</v>
      </c>
      <c r="T33" s="3" t="n">
        <v>1.4792</v>
      </c>
      <c r="U33" s="3" t="n">
        <v>0.3698</v>
      </c>
      <c r="V33" s="1" t="n">
        <v>182</v>
      </c>
      <c r="W33" s="2" t="n">
        <v>43863</v>
      </c>
      <c r="X33" s="4" t="n">
        <v>0.8</v>
      </c>
      <c r="Y33" s="1" t="n">
        <v>20.2</v>
      </c>
      <c r="Z33" s="1" t="n">
        <v>19</v>
      </c>
      <c r="AA33" s="1" t="n">
        <v>12</v>
      </c>
      <c r="AB33" s="4" t="n">
        <v>18.8</v>
      </c>
      <c r="AC33" s="4" t="n">
        <v>7.4</v>
      </c>
      <c r="AD33" s="1" t="n">
        <v>62</v>
      </c>
      <c r="AE33" s="1" t="n">
        <v>5.63</v>
      </c>
    </row>
    <row r="34" customFormat="false" ht="13.5" hidden="false" customHeight="false" outlineLevel="0" collapsed="false">
      <c r="A34" s="1" t="s">
        <v>338</v>
      </c>
      <c r="B34" s="1" t="s">
        <v>31</v>
      </c>
      <c r="C34" s="1" t="s">
        <v>338</v>
      </c>
      <c r="D34" s="1" t="s">
        <v>33</v>
      </c>
      <c r="E34" s="1" t="n">
        <v>2</v>
      </c>
      <c r="F34" s="1" t="s">
        <v>248</v>
      </c>
      <c r="G34" s="1" t="s">
        <v>31</v>
      </c>
      <c r="H34" s="1" t="s">
        <v>338</v>
      </c>
      <c r="I34" s="2" t="n">
        <v>43861</v>
      </c>
      <c r="J34" s="2" t="n">
        <v>43864</v>
      </c>
      <c r="K34" s="1" t="s">
        <v>33</v>
      </c>
      <c r="L34" s="2" t="n">
        <v>43865</v>
      </c>
      <c r="M34" s="2" t="n">
        <v>43865</v>
      </c>
      <c r="N34" s="2" t="n">
        <v>43882</v>
      </c>
      <c r="O34" s="1" t="n">
        <v>0</v>
      </c>
      <c r="P34" s="1" t="n">
        <v>66</v>
      </c>
      <c r="Q34" s="1" t="n">
        <v>24.91349481</v>
      </c>
      <c r="R34" s="2" t="n">
        <v>43864</v>
      </c>
      <c r="S34" s="3" t="n">
        <v>6.31</v>
      </c>
      <c r="T34" s="3" t="n">
        <v>1.67215</v>
      </c>
      <c r="U34" s="3" t="n">
        <v>0.49849</v>
      </c>
      <c r="V34" s="1" t="n">
        <v>241</v>
      </c>
      <c r="W34" s="2" t="n">
        <v>43864</v>
      </c>
      <c r="X34" s="4" t="n">
        <v>85.4</v>
      </c>
      <c r="Y34" s="1" t="n">
        <v>17.5</v>
      </c>
      <c r="Z34" s="1" t="n">
        <v>22</v>
      </c>
      <c r="AA34" s="1" t="n">
        <v>42</v>
      </c>
      <c r="AB34" s="4" t="n">
        <v>20.2</v>
      </c>
      <c r="AC34" s="4" t="n">
        <v>8.7</v>
      </c>
      <c r="AD34" s="1" t="n">
        <v>74</v>
      </c>
      <c r="AE34" s="1" t="n">
        <v>18.02</v>
      </c>
    </row>
    <row r="35" customFormat="false" ht="13.5" hidden="false" customHeight="false" outlineLevel="0" collapsed="false">
      <c r="A35" s="1" t="s">
        <v>339</v>
      </c>
      <c r="B35" s="1" t="s">
        <v>31</v>
      </c>
      <c r="C35" s="1" t="s">
        <v>339</v>
      </c>
      <c r="D35" s="1" t="s">
        <v>33</v>
      </c>
      <c r="E35" s="1" t="n">
        <v>2</v>
      </c>
      <c r="F35" s="1" t="s">
        <v>248</v>
      </c>
      <c r="G35" s="1" t="s">
        <v>31</v>
      </c>
      <c r="H35" s="1" t="s">
        <v>339</v>
      </c>
      <c r="I35" s="2" t="n">
        <v>43858</v>
      </c>
      <c r="J35" s="2" t="n">
        <v>43861</v>
      </c>
      <c r="K35" s="1" t="s">
        <v>33</v>
      </c>
      <c r="L35" s="2" t="n">
        <v>43862</v>
      </c>
      <c r="M35" s="2" t="n">
        <v>43862</v>
      </c>
      <c r="N35" s="2" t="n">
        <v>43869</v>
      </c>
      <c r="O35" s="1" t="n">
        <v>0</v>
      </c>
      <c r="P35" s="1" t="n">
        <v>37</v>
      </c>
      <c r="Q35" s="1" t="n">
        <v>22.83737024</v>
      </c>
      <c r="R35" s="2" t="n">
        <v>43861</v>
      </c>
      <c r="S35" s="3" t="n">
        <v>8.46</v>
      </c>
      <c r="T35" s="3" t="n">
        <v>2.36034</v>
      </c>
      <c r="U35" s="3" t="n">
        <v>0.38916</v>
      </c>
      <c r="V35" s="1" t="n">
        <v>247</v>
      </c>
      <c r="W35" s="2" t="n">
        <v>43861</v>
      </c>
      <c r="X35" s="4" t="n">
        <v>0.5</v>
      </c>
      <c r="Y35" s="1" t="n">
        <v>39.2</v>
      </c>
      <c r="Z35" s="1" t="n">
        <v>25</v>
      </c>
      <c r="AA35" s="1" t="n">
        <v>47</v>
      </c>
      <c r="AB35" s="4" t="n">
        <v>14.1</v>
      </c>
      <c r="AC35" s="4" t="n">
        <v>5.2</v>
      </c>
      <c r="AD35" s="1" t="n">
        <v>83</v>
      </c>
      <c r="AE35" s="1" t="n">
        <v>10.08</v>
      </c>
    </row>
    <row r="36" customFormat="false" ht="13.5" hidden="false" customHeight="false" outlineLevel="0" collapsed="false">
      <c r="A36" s="1" t="s">
        <v>340</v>
      </c>
      <c r="B36" s="1" t="s">
        <v>31</v>
      </c>
      <c r="C36" s="1" t="s">
        <v>340</v>
      </c>
      <c r="D36" s="1" t="s">
        <v>33</v>
      </c>
      <c r="E36" s="1" t="n">
        <v>2</v>
      </c>
      <c r="F36" s="1" t="s">
        <v>248</v>
      </c>
      <c r="G36" s="1" t="s">
        <v>31</v>
      </c>
      <c r="H36" s="1" t="s">
        <v>340</v>
      </c>
      <c r="I36" s="2" t="n">
        <v>43854</v>
      </c>
      <c r="J36" s="2" t="n">
        <v>43861</v>
      </c>
      <c r="K36" s="1" t="s">
        <v>33</v>
      </c>
      <c r="L36" s="2" t="n">
        <v>43862</v>
      </c>
      <c r="M36" s="2" t="n">
        <v>43862</v>
      </c>
      <c r="N36" s="2" t="n">
        <v>43879</v>
      </c>
      <c r="O36" s="1" t="n">
        <v>0</v>
      </c>
      <c r="P36" s="1" t="n">
        <v>46</v>
      </c>
      <c r="Q36" s="1" t="n">
        <v>27.6816609</v>
      </c>
      <c r="R36" s="2" t="n">
        <v>43861</v>
      </c>
      <c r="S36" s="3" t="n">
        <v>4.95</v>
      </c>
      <c r="T36" s="3" t="n">
        <v>1.782</v>
      </c>
      <c r="U36" s="3" t="n">
        <v>0.50985</v>
      </c>
      <c r="V36" s="1" t="n">
        <v>185</v>
      </c>
      <c r="W36" s="2" t="n">
        <v>43861</v>
      </c>
      <c r="X36" s="4" t="n">
        <v>16.6</v>
      </c>
      <c r="Y36" s="1" t="n">
        <v>42.9</v>
      </c>
      <c r="Z36" s="1" t="n">
        <v>36</v>
      </c>
      <c r="AA36" s="1" t="n">
        <v>74</v>
      </c>
      <c r="AB36" s="4" t="n">
        <v>9.9</v>
      </c>
      <c r="AC36" s="4" t="n">
        <v>4</v>
      </c>
      <c r="AD36" s="1" t="n">
        <v>88</v>
      </c>
      <c r="AE36" s="1" t="n">
        <v>5.65</v>
      </c>
    </row>
    <row r="37" customFormat="false" ht="13.5" hidden="false" customHeight="false" outlineLevel="0" collapsed="false">
      <c r="A37" s="1" t="s">
        <v>341</v>
      </c>
      <c r="B37" s="1" t="s">
        <v>31</v>
      </c>
      <c r="C37" s="1" t="s">
        <v>341</v>
      </c>
      <c r="D37" s="1" t="s">
        <v>33</v>
      </c>
      <c r="E37" s="1" t="n">
        <v>2</v>
      </c>
      <c r="F37" s="1" t="s">
        <v>248</v>
      </c>
      <c r="G37" s="1" t="s">
        <v>31</v>
      </c>
      <c r="H37" s="1" t="s">
        <v>341</v>
      </c>
      <c r="I37" s="2" t="n">
        <v>43853</v>
      </c>
      <c r="J37" s="2" t="n">
        <v>43862</v>
      </c>
      <c r="K37" s="1" t="s">
        <v>33</v>
      </c>
      <c r="L37" s="2" t="n">
        <v>43863</v>
      </c>
      <c r="M37" s="2" t="n">
        <v>43863</v>
      </c>
      <c r="N37" s="2" t="n">
        <v>43875</v>
      </c>
      <c r="O37" s="1" t="n">
        <v>0</v>
      </c>
      <c r="P37" s="1" t="n">
        <v>39</v>
      </c>
      <c r="Q37" s="1" t="n">
        <v>28.5467128</v>
      </c>
      <c r="R37" s="2" t="n">
        <v>43862</v>
      </c>
      <c r="S37" s="3" t="n">
        <v>5.54</v>
      </c>
      <c r="T37" s="3" t="n">
        <v>1.520176</v>
      </c>
      <c r="U37" s="3" t="n">
        <v>0.611616</v>
      </c>
      <c r="V37" s="3" t="n">
        <v>229</v>
      </c>
      <c r="W37" s="2" t="n">
        <v>43862</v>
      </c>
      <c r="X37" s="3" t="n">
        <v>17.8</v>
      </c>
      <c r="Y37" s="3" t="n">
        <v>21.7</v>
      </c>
      <c r="Z37" s="3" t="n">
        <v>22</v>
      </c>
      <c r="AA37" s="3" t="n">
        <v>38</v>
      </c>
      <c r="AB37" s="3" t="n">
        <v>17</v>
      </c>
      <c r="AC37" s="3" t="n">
        <v>5.5</v>
      </c>
      <c r="AD37" s="3" t="n">
        <v>101</v>
      </c>
      <c r="AE37" s="1" t="n">
        <v>6.78</v>
      </c>
    </row>
    <row r="38" customFormat="false" ht="13.5" hidden="false" customHeight="false" outlineLevel="0" collapsed="false">
      <c r="A38" s="1" t="s">
        <v>342</v>
      </c>
      <c r="B38" s="1" t="s">
        <v>31</v>
      </c>
      <c r="C38" s="1" t="s">
        <v>342</v>
      </c>
      <c r="D38" s="1" t="s">
        <v>33</v>
      </c>
      <c r="E38" s="1" t="n">
        <v>2</v>
      </c>
      <c r="F38" s="1" t="s">
        <v>248</v>
      </c>
      <c r="G38" s="1" t="s">
        <v>31</v>
      </c>
      <c r="H38" s="1" t="s">
        <v>342</v>
      </c>
      <c r="I38" s="2" t="n">
        <v>43860</v>
      </c>
      <c r="J38" s="2" t="n">
        <v>43863</v>
      </c>
      <c r="K38" s="1" t="s">
        <v>33</v>
      </c>
      <c r="L38" s="2" t="n">
        <v>43864</v>
      </c>
      <c r="M38" s="2" t="n">
        <v>43864</v>
      </c>
      <c r="N38" s="2" t="n">
        <v>43879</v>
      </c>
      <c r="O38" s="1" t="n">
        <v>0</v>
      </c>
      <c r="P38" s="1" t="n">
        <v>47</v>
      </c>
      <c r="Q38" s="1" t="n">
        <v>30.6793279766253</v>
      </c>
      <c r="R38" s="2" t="n">
        <v>43863</v>
      </c>
      <c r="S38" s="3" t="n">
        <v>13.29</v>
      </c>
      <c r="T38" s="3" t="n">
        <v>1.281156</v>
      </c>
      <c r="U38" s="3" t="n">
        <v>0.417306</v>
      </c>
      <c r="V38" s="1" t="n">
        <v>331</v>
      </c>
      <c r="W38" s="2" t="n">
        <v>43863</v>
      </c>
      <c r="X38" s="4" t="n">
        <v>5.2</v>
      </c>
      <c r="Y38" s="1" t="n">
        <v>67</v>
      </c>
      <c r="Z38" s="1" t="n">
        <v>24</v>
      </c>
      <c r="AA38" s="1" t="n">
        <v>108</v>
      </c>
      <c r="AB38" s="4" t="n">
        <v>10</v>
      </c>
      <c r="AC38" s="4" t="n">
        <v>3.8</v>
      </c>
      <c r="AD38" s="1" t="n">
        <v>75</v>
      </c>
      <c r="AE38" s="1" t="n">
        <v>12.94</v>
      </c>
    </row>
    <row r="40" customFormat="false" ht="13.5" hidden="false" customHeight="false" outlineLevel="0" collapsed="false">
      <c r="P40" s="1" t="n">
        <f aca="false">AVERAGE(P2:P38)</f>
        <v>42.9459459459459</v>
      </c>
      <c r="Q40" s="1" t="n">
        <f aca="false">AVERAGE(Q2:Q38)</f>
        <v>24.4527922471859</v>
      </c>
    </row>
    <row r="41" customFormat="false" ht="13.5" hidden="false" customHeight="false" outlineLevel="0" collapsed="false">
      <c r="P41" s="1" t="n">
        <f aca="false">MEDIAN(P2:P38)</f>
        <v>43</v>
      </c>
      <c r="Q41" s="1" t="n">
        <f aca="false">MEDIAN(Q2:Q38)</f>
        <v>24.22145329</v>
      </c>
    </row>
    <row r="42" customFormat="false" ht="13.5" hidden="false" customHeight="false" outlineLevel="0" collapsed="false">
      <c r="C42" s="9"/>
      <c r="P42" s="1" t="n">
        <f aca="false">MIN(P2:P38)</f>
        <v>18</v>
      </c>
      <c r="Q42" s="1" t="n">
        <f aca="false">MIN(Q2:Q38)</f>
        <v>18.9370029</v>
      </c>
    </row>
    <row r="43" customFormat="false" ht="13.5" hidden="false" customHeight="false" outlineLevel="0" collapsed="false">
      <c r="P43" s="1" t="n">
        <f aca="false">MAX(P2:P38)</f>
        <v>70</v>
      </c>
      <c r="Q43" s="1" t="n">
        <f aca="false">MAX(Q2:Q38)</f>
        <v>30.6793279766253</v>
      </c>
    </row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I62" activeCellId="2" sqref="X:AE S:V I62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2.66"/>
    <col collapsed="false" customWidth="true" hidden="false" outlineLevel="0" max="3" min="3" style="1" width="15.83"/>
    <col collapsed="false" customWidth="true" hidden="false" outlineLevel="0" max="4" min="4" style="1" width="11.83"/>
    <col collapsed="false" customWidth="true" hidden="false" outlineLevel="0" max="5" min="5" style="1" width="9.83"/>
    <col collapsed="false" customWidth="true" hidden="false" outlineLevel="0" max="6" min="6" style="1" width="15.83"/>
    <col collapsed="false" customWidth="true" hidden="false" outlineLevel="0" max="7" min="7" style="1" width="14.66"/>
    <col collapsed="false" customWidth="true" hidden="false" outlineLevel="0" max="8" min="8" style="1" width="15.83"/>
    <col collapsed="false" customWidth="true" hidden="false" outlineLevel="0" max="9" min="9" style="2" width="11.66"/>
    <col collapsed="false" customWidth="true" hidden="false" outlineLevel="0" max="10" min="10" style="2" width="15.83"/>
    <col collapsed="false" customWidth="true" hidden="false" outlineLevel="0" max="11" min="11" style="2" width="14"/>
    <col collapsed="false" customWidth="true" hidden="false" outlineLevel="0" max="13" min="12" style="2" width="9.83"/>
    <col collapsed="false" customWidth="true" hidden="false" outlineLevel="0" max="14" min="14" style="2" width="11.66"/>
    <col collapsed="false" customWidth="false" hidden="false" outlineLevel="0" max="16" min="15" style="1" width="9"/>
    <col collapsed="false" customWidth="true" hidden="false" outlineLevel="0" max="17" min="17" style="1" width="11.33"/>
    <col collapsed="false" customWidth="false" hidden="false" outlineLevel="0" max="18" min="18" style="3" width="9"/>
    <col collapsed="false" customWidth="true" hidden="false" outlineLevel="0" max="19" min="19" style="3" width="12"/>
    <col collapsed="false" customWidth="true" hidden="false" outlineLevel="0" max="20" min="20" style="3" width="10.17"/>
    <col collapsed="false" customWidth="false" hidden="false" outlineLevel="0" max="21" min="21" style="1" width="9"/>
    <col collapsed="false" customWidth="true" hidden="false" outlineLevel="0" max="22" min="22" style="2" width="9.51"/>
    <col collapsed="false" customWidth="false" hidden="false" outlineLevel="0" max="23" min="23" style="4" width="9"/>
    <col collapsed="false" customWidth="false" hidden="false" outlineLevel="0" max="26" min="24" style="1" width="9"/>
    <col collapsed="false" customWidth="false" hidden="false" outlineLevel="0" max="28" min="27" style="4" width="9"/>
    <col collapsed="false" customWidth="true" hidden="false" outlineLevel="0" max="29" min="29" style="1" width="10.66"/>
    <col collapsed="false" customWidth="false" hidden="false" outlineLevel="0" max="1024" min="30" style="1" width="9"/>
  </cols>
  <sheetData>
    <row r="1" s="5" customFormat="true" ht="6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7" t="s">
        <v>20</v>
      </c>
      <c r="V1" s="5" t="s">
        <v>21</v>
      </c>
      <c r="W1" s="6" t="s">
        <v>17</v>
      </c>
      <c r="X1" s="8" t="s">
        <v>22</v>
      </c>
      <c r="Y1" s="5" t="s">
        <v>23</v>
      </c>
      <c r="Z1" s="5" t="s">
        <v>24</v>
      </c>
      <c r="AA1" s="5" t="s">
        <v>25</v>
      </c>
      <c r="AB1" s="8" t="s">
        <v>26</v>
      </c>
      <c r="AC1" s="8" t="s">
        <v>27</v>
      </c>
      <c r="AD1" s="5" t="s">
        <v>28</v>
      </c>
      <c r="AE1" s="5" t="s">
        <v>29</v>
      </c>
    </row>
    <row r="2" customFormat="false" ht="13.5" hidden="false" customHeight="false" outlineLevel="0" collapsed="false">
      <c r="A2" s="1" t="s">
        <v>185</v>
      </c>
      <c r="B2" s="1" t="s">
        <v>31</v>
      </c>
      <c r="C2" s="1" t="s">
        <v>186</v>
      </c>
      <c r="D2" s="1" t="s">
        <v>33</v>
      </c>
      <c r="E2" s="1" t="n">
        <v>3</v>
      </c>
      <c r="F2" s="1" t="s">
        <v>187</v>
      </c>
      <c r="G2" s="1" t="s">
        <v>31</v>
      </c>
      <c r="H2" s="1" t="s">
        <v>188</v>
      </c>
      <c r="I2" s="2" t="n">
        <v>43853</v>
      </c>
      <c r="J2" s="2" t="n">
        <v>43855</v>
      </c>
      <c r="K2" s="2" t="n">
        <v>43857</v>
      </c>
      <c r="L2" s="2" t="n">
        <v>43855</v>
      </c>
      <c r="M2" s="2" t="n">
        <v>43855</v>
      </c>
      <c r="N2" s="2" t="n">
        <v>43870</v>
      </c>
      <c r="O2" s="1" t="n">
        <v>1</v>
      </c>
      <c r="P2" s="1" t="n">
        <v>30</v>
      </c>
      <c r="Q2" s="1" t="n">
        <v>24.8015873</v>
      </c>
      <c r="R2" s="2" t="n">
        <v>43855</v>
      </c>
      <c r="S2" s="3" t="n">
        <v>5.19</v>
      </c>
      <c r="T2" s="3" t="n">
        <v>1.2</v>
      </c>
      <c r="U2" s="3" t="n">
        <v>0.4558</v>
      </c>
      <c r="V2" s="1" t="n">
        <v>118</v>
      </c>
      <c r="W2" s="2" t="n">
        <v>43855</v>
      </c>
      <c r="X2" s="4" t="n">
        <v>42.53</v>
      </c>
      <c r="Y2" s="1" t="n">
        <v>69</v>
      </c>
      <c r="Z2" s="1" t="n">
        <v>77</v>
      </c>
      <c r="AA2" s="1" t="n">
        <v>77</v>
      </c>
      <c r="AB2" s="4" t="n">
        <v>11.8</v>
      </c>
      <c r="AC2" s="4" t="n">
        <v>3.8</v>
      </c>
      <c r="AD2" s="1" t="n">
        <v>89</v>
      </c>
      <c r="AE2" s="1" t="n">
        <v>6.95</v>
      </c>
    </row>
    <row r="3" customFormat="false" ht="13.5" hidden="false" customHeight="false" outlineLevel="0" collapsed="false">
      <c r="A3" s="1" t="s">
        <v>189</v>
      </c>
      <c r="B3" s="1" t="s">
        <v>31</v>
      </c>
      <c r="C3" s="1" t="s">
        <v>190</v>
      </c>
      <c r="D3" s="1" t="s">
        <v>33</v>
      </c>
      <c r="E3" s="1" t="n">
        <v>3</v>
      </c>
      <c r="F3" s="1" t="s">
        <v>187</v>
      </c>
      <c r="G3" s="1" t="s">
        <v>31</v>
      </c>
      <c r="H3" s="1" t="s">
        <v>191</v>
      </c>
      <c r="I3" s="2" t="n">
        <v>43855</v>
      </c>
      <c r="J3" s="2" t="n">
        <v>43858</v>
      </c>
      <c r="K3" s="2" t="n">
        <v>43858</v>
      </c>
      <c r="L3" s="2" t="n">
        <v>43858</v>
      </c>
      <c r="M3" s="2" t="n">
        <v>43858</v>
      </c>
      <c r="N3" s="2" t="n">
        <v>43895</v>
      </c>
      <c r="O3" s="1" t="n">
        <v>1</v>
      </c>
      <c r="P3" s="1" t="n">
        <v>34</v>
      </c>
      <c r="Q3" s="1" t="n">
        <v>26.93877551</v>
      </c>
      <c r="R3" s="2" t="n">
        <v>43858</v>
      </c>
      <c r="S3" s="3" t="n">
        <v>6</v>
      </c>
      <c r="T3" s="3" t="n">
        <v>1.062</v>
      </c>
      <c r="U3" s="3" t="n">
        <v>0.432</v>
      </c>
      <c r="V3" s="1" t="n">
        <v>112</v>
      </c>
      <c r="W3" s="2" t="n">
        <v>43858</v>
      </c>
      <c r="X3" s="4" t="n">
        <v>58.55</v>
      </c>
      <c r="Y3" s="1" t="n">
        <v>21</v>
      </c>
      <c r="Z3" s="1" t="n">
        <v>26</v>
      </c>
      <c r="AA3" s="1" t="n">
        <v>21</v>
      </c>
      <c r="AB3" s="4" t="n">
        <v>24.9</v>
      </c>
      <c r="AC3" s="4" t="n">
        <v>10.2</v>
      </c>
      <c r="AD3" s="1" t="n">
        <v>103</v>
      </c>
      <c r="AE3" s="1" t="n">
        <v>7.32</v>
      </c>
    </row>
    <row r="4" customFormat="false" ht="13.5" hidden="false" customHeight="false" outlineLevel="0" collapsed="false">
      <c r="A4" s="1" t="s">
        <v>192</v>
      </c>
      <c r="B4" s="1" t="s">
        <v>54</v>
      </c>
      <c r="C4" s="1" t="s">
        <v>33</v>
      </c>
      <c r="D4" s="1" t="s">
        <v>33</v>
      </c>
      <c r="E4" s="1" t="n">
        <v>3</v>
      </c>
      <c r="F4" s="1" t="s">
        <v>33</v>
      </c>
      <c r="G4" s="1" t="s">
        <v>31</v>
      </c>
      <c r="H4" s="1" t="s">
        <v>193</v>
      </c>
      <c r="I4" s="2" t="n">
        <v>43845</v>
      </c>
      <c r="J4" s="2" t="n">
        <v>43857</v>
      </c>
      <c r="K4" s="2" t="n">
        <v>43858</v>
      </c>
      <c r="L4" s="2" t="n">
        <v>43868</v>
      </c>
      <c r="M4" s="2" t="s">
        <v>33</v>
      </c>
      <c r="N4" s="2" t="n">
        <v>43879</v>
      </c>
      <c r="O4" s="1" t="n">
        <v>1</v>
      </c>
      <c r="P4" s="1" t="n">
        <v>51</v>
      </c>
      <c r="Q4" s="1" t="n">
        <v>27.34375</v>
      </c>
      <c r="R4" s="2" t="n">
        <v>43857</v>
      </c>
      <c r="S4" s="3" t="n">
        <v>4.7</v>
      </c>
      <c r="T4" s="3" t="n">
        <v>1.1092</v>
      </c>
      <c r="U4" s="3" t="n">
        <v>0.5922</v>
      </c>
      <c r="V4" s="1" t="n">
        <v>185</v>
      </c>
      <c r="W4" s="2" t="n">
        <v>43857</v>
      </c>
      <c r="X4" s="4" t="n">
        <v>9.7</v>
      </c>
      <c r="Y4" s="1" t="n">
        <v>37</v>
      </c>
      <c r="Z4" s="1" t="n">
        <v>45</v>
      </c>
      <c r="AA4" s="1" t="n">
        <v>25</v>
      </c>
      <c r="AB4" s="4" t="n">
        <v>15.4</v>
      </c>
      <c r="AC4" s="4" t="n">
        <v>5</v>
      </c>
      <c r="AD4" s="1" t="n">
        <v>98</v>
      </c>
      <c r="AE4" s="1" t="n">
        <v>16.28</v>
      </c>
    </row>
    <row r="5" customFormat="false" ht="13.5" hidden="false" customHeight="false" outlineLevel="0" collapsed="false">
      <c r="A5" s="1" t="s">
        <v>194</v>
      </c>
      <c r="B5" s="1" t="s">
        <v>31</v>
      </c>
      <c r="C5" s="1" t="s">
        <v>195</v>
      </c>
      <c r="D5" s="1" t="s">
        <v>33</v>
      </c>
      <c r="E5" s="1" t="n">
        <v>3</v>
      </c>
      <c r="F5" s="1" t="s">
        <v>187</v>
      </c>
      <c r="G5" s="1" t="s">
        <v>31</v>
      </c>
      <c r="H5" s="1" t="s">
        <v>196</v>
      </c>
      <c r="I5" s="2" t="n">
        <v>43849</v>
      </c>
      <c r="J5" s="2" t="n">
        <v>43854</v>
      </c>
      <c r="K5" s="2" t="n">
        <v>43853</v>
      </c>
      <c r="L5" s="2" t="n">
        <v>43864</v>
      </c>
      <c r="M5" s="2" t="n">
        <v>43855</v>
      </c>
      <c r="N5" s="2" t="n">
        <v>43879</v>
      </c>
      <c r="O5" s="1" t="n">
        <v>1</v>
      </c>
      <c r="P5" s="1" t="n">
        <v>47</v>
      </c>
      <c r="Q5" s="1" t="n">
        <v>22.265625</v>
      </c>
      <c r="R5" s="2" t="n">
        <v>43854</v>
      </c>
      <c r="S5" s="3" t="n">
        <v>6.76</v>
      </c>
      <c r="T5" s="3" t="n">
        <v>0.9</v>
      </c>
      <c r="U5" s="3" t="n">
        <v>0.5</v>
      </c>
      <c r="V5" s="1" t="n">
        <v>240</v>
      </c>
      <c r="W5" s="2" t="n">
        <v>43855</v>
      </c>
      <c r="X5" s="4" t="n">
        <v>16.9</v>
      </c>
      <c r="Y5" s="1" t="n">
        <v>24</v>
      </c>
      <c r="Z5" s="1" t="n">
        <v>26</v>
      </c>
      <c r="AA5" s="1" t="n">
        <v>15</v>
      </c>
      <c r="AB5" s="4" t="n">
        <v>5.3</v>
      </c>
      <c r="AC5" s="4" t="n">
        <v>1.5</v>
      </c>
      <c r="AD5" s="1" t="n">
        <v>335</v>
      </c>
      <c r="AE5" s="1" t="n">
        <v>5.42</v>
      </c>
    </row>
    <row r="6" customFormat="false" ht="13.5" hidden="false" customHeight="false" outlineLevel="0" collapsed="false">
      <c r="A6" s="1" t="s">
        <v>197</v>
      </c>
      <c r="B6" s="1" t="s">
        <v>54</v>
      </c>
      <c r="C6" s="1" t="s">
        <v>33</v>
      </c>
      <c r="D6" s="1" t="s">
        <v>33</v>
      </c>
      <c r="E6" s="1" t="n">
        <v>3</v>
      </c>
      <c r="F6" s="1" t="s">
        <v>33</v>
      </c>
      <c r="G6" s="1" t="s">
        <v>31</v>
      </c>
      <c r="H6" s="1" t="s">
        <v>198</v>
      </c>
      <c r="I6" s="2" t="n">
        <v>43853</v>
      </c>
      <c r="J6" s="2" t="n">
        <v>43855</v>
      </c>
      <c r="K6" s="2" t="n">
        <v>43861</v>
      </c>
      <c r="L6" s="2" t="n">
        <v>43870</v>
      </c>
      <c r="M6" s="2" t="s">
        <v>33</v>
      </c>
      <c r="N6" s="2" t="n">
        <v>43888</v>
      </c>
      <c r="O6" s="1" t="n">
        <v>0</v>
      </c>
      <c r="P6" s="1" t="n">
        <v>56</v>
      </c>
      <c r="Q6" s="1" t="n">
        <v>28.7317468902109</v>
      </c>
      <c r="R6" s="2" t="n">
        <v>43856</v>
      </c>
      <c r="S6" s="3" t="n">
        <v>1.9</v>
      </c>
      <c r="T6" s="3" t="n">
        <v>0.8645</v>
      </c>
      <c r="U6" s="3" t="n">
        <v>0.2489</v>
      </c>
      <c r="V6" s="1" t="n">
        <v>121</v>
      </c>
      <c r="W6" s="2" t="n">
        <v>43856</v>
      </c>
      <c r="X6" s="4" t="n">
        <v>2.76</v>
      </c>
      <c r="Y6" s="1" t="n">
        <v>21</v>
      </c>
      <c r="Z6" s="1" t="n">
        <v>28</v>
      </c>
      <c r="AA6" s="1" t="n">
        <v>72</v>
      </c>
      <c r="AB6" s="4" t="n">
        <v>9.9</v>
      </c>
      <c r="AC6" s="4" t="n">
        <v>3</v>
      </c>
      <c r="AD6" s="1" t="n">
        <v>78</v>
      </c>
      <c r="AE6" s="1" t="n">
        <v>5.95</v>
      </c>
    </row>
    <row r="7" customFormat="false" ht="13.5" hidden="false" customHeight="false" outlineLevel="0" collapsed="false">
      <c r="A7" s="1" t="s">
        <v>199</v>
      </c>
      <c r="B7" s="1" t="s">
        <v>31</v>
      </c>
      <c r="C7" s="1" t="s">
        <v>200</v>
      </c>
      <c r="D7" s="1" t="s">
        <v>33</v>
      </c>
      <c r="E7" s="1" t="n">
        <v>3</v>
      </c>
      <c r="F7" s="1" t="s">
        <v>187</v>
      </c>
      <c r="G7" s="1" t="s">
        <v>31</v>
      </c>
      <c r="H7" s="1" t="s">
        <v>201</v>
      </c>
      <c r="I7" s="2" t="n">
        <v>43851</v>
      </c>
      <c r="J7" s="2" t="n">
        <v>43853</v>
      </c>
      <c r="K7" s="2" t="n">
        <v>43854</v>
      </c>
      <c r="L7" s="2" t="n">
        <v>43853</v>
      </c>
      <c r="M7" s="2" t="n">
        <v>43854</v>
      </c>
      <c r="N7" s="2" t="n">
        <v>43869</v>
      </c>
      <c r="O7" s="1" t="n">
        <v>1</v>
      </c>
      <c r="P7" s="1" t="n">
        <v>54</v>
      </c>
      <c r="Q7" s="1" t="n">
        <v>31.26690103</v>
      </c>
      <c r="R7" s="2" t="n">
        <v>43853</v>
      </c>
      <c r="S7" s="3" t="n">
        <v>5.5</v>
      </c>
      <c r="T7" s="3" t="n">
        <v>1.441</v>
      </c>
      <c r="U7" s="3" t="n">
        <v>0.649</v>
      </c>
      <c r="V7" s="1" t="n">
        <v>119</v>
      </c>
      <c r="W7" s="2" t="n">
        <v>43854</v>
      </c>
      <c r="X7" s="4" t="n">
        <v>31</v>
      </c>
      <c r="Y7" s="1" t="n">
        <v>97</v>
      </c>
      <c r="Z7" s="1" t="n">
        <v>47</v>
      </c>
      <c r="AA7" s="1" t="n">
        <v>55</v>
      </c>
      <c r="AB7" s="4" t="n">
        <v>32.7</v>
      </c>
      <c r="AC7" s="4" t="n">
        <v>17.9</v>
      </c>
      <c r="AD7" s="1" t="n">
        <v>69</v>
      </c>
      <c r="AE7" s="1" t="n">
        <v>8.1</v>
      </c>
    </row>
    <row r="8" customFormat="false" ht="13.5" hidden="false" customHeight="false" outlineLevel="0" collapsed="false">
      <c r="A8" s="1" t="s">
        <v>202</v>
      </c>
      <c r="B8" s="1" t="s">
        <v>54</v>
      </c>
      <c r="C8" s="1" t="s">
        <v>33</v>
      </c>
      <c r="D8" s="1" t="s">
        <v>33</v>
      </c>
      <c r="E8" s="1" t="n">
        <v>3</v>
      </c>
      <c r="F8" s="1" t="s">
        <v>33</v>
      </c>
      <c r="G8" s="1" t="s">
        <v>31</v>
      </c>
      <c r="H8" s="1" t="s">
        <v>203</v>
      </c>
      <c r="I8" s="2" t="n">
        <v>43839</v>
      </c>
      <c r="J8" s="2" t="n">
        <v>43854</v>
      </c>
      <c r="K8" s="2" t="n">
        <v>43855</v>
      </c>
      <c r="L8" s="2" t="n">
        <v>43854</v>
      </c>
      <c r="M8" s="2" t="s">
        <v>33</v>
      </c>
      <c r="N8" s="2" t="n">
        <v>43875</v>
      </c>
      <c r="O8" s="1" t="n">
        <v>1</v>
      </c>
      <c r="P8" s="1" t="n">
        <v>74</v>
      </c>
      <c r="Q8" s="1" t="n">
        <v>27.05515088</v>
      </c>
      <c r="R8" s="2" t="n">
        <v>43854</v>
      </c>
      <c r="S8" s="3" t="n">
        <v>3.75</v>
      </c>
      <c r="T8" s="3" t="n">
        <v>0.7</v>
      </c>
      <c r="U8" s="3" t="n">
        <v>0.4</v>
      </c>
      <c r="V8" s="1" t="n">
        <v>120</v>
      </c>
      <c r="W8" s="2" t="n">
        <v>43856</v>
      </c>
      <c r="X8" s="4" t="n">
        <v>12.7</v>
      </c>
      <c r="Y8" s="1" t="n">
        <v>22</v>
      </c>
      <c r="Z8" s="1" t="n">
        <v>33</v>
      </c>
      <c r="AA8" s="1" t="n">
        <v>17</v>
      </c>
      <c r="AB8" s="4" t="n">
        <v>22.5</v>
      </c>
      <c r="AC8" s="4" t="n">
        <v>8.4</v>
      </c>
      <c r="AD8" s="1" t="n">
        <v>67</v>
      </c>
      <c r="AE8" s="1" t="n">
        <v>7.66</v>
      </c>
    </row>
    <row r="9" customFormat="false" ht="13.5" hidden="false" customHeight="false" outlineLevel="0" collapsed="false">
      <c r="A9" s="1" t="s">
        <v>204</v>
      </c>
      <c r="B9" s="1" t="s">
        <v>31</v>
      </c>
      <c r="C9" s="1" t="s">
        <v>205</v>
      </c>
      <c r="D9" s="1" t="s">
        <v>206</v>
      </c>
      <c r="E9" s="1" t="n">
        <v>3</v>
      </c>
      <c r="F9" s="1" t="s">
        <v>187</v>
      </c>
      <c r="G9" s="1" t="s">
        <v>31</v>
      </c>
      <c r="H9" s="1" t="s">
        <v>207</v>
      </c>
      <c r="I9" s="2" t="n">
        <v>43853</v>
      </c>
      <c r="J9" s="2" t="n">
        <v>43854</v>
      </c>
      <c r="K9" s="2" t="n">
        <v>43857</v>
      </c>
      <c r="L9" s="2" t="n">
        <v>43854</v>
      </c>
      <c r="M9" s="2" t="n">
        <v>43864</v>
      </c>
      <c r="N9" s="2" t="n">
        <v>43879</v>
      </c>
      <c r="O9" s="1" t="n">
        <v>0</v>
      </c>
      <c r="P9" s="1" t="n">
        <v>35</v>
      </c>
      <c r="Q9" s="1" t="n">
        <v>25.64891762</v>
      </c>
      <c r="R9" s="2" t="n">
        <v>43854</v>
      </c>
      <c r="S9" s="3" t="n">
        <v>5.98</v>
      </c>
      <c r="T9" s="3" t="n">
        <v>1.6</v>
      </c>
      <c r="U9" s="3" t="n">
        <v>0.6</v>
      </c>
      <c r="V9" s="1" t="n">
        <v>301</v>
      </c>
      <c r="W9" s="2" t="n">
        <v>43854</v>
      </c>
      <c r="X9" s="4" t="n">
        <v>1.99</v>
      </c>
      <c r="Y9" s="1" t="n">
        <v>34</v>
      </c>
      <c r="Z9" s="1" t="n">
        <v>28</v>
      </c>
      <c r="AA9" s="1" t="n">
        <v>50</v>
      </c>
      <c r="AB9" s="4" t="n">
        <v>5.6</v>
      </c>
      <c r="AC9" s="4" t="n">
        <v>1.8</v>
      </c>
      <c r="AD9" s="1" t="n">
        <v>72</v>
      </c>
      <c r="AE9" s="1" t="n">
        <v>5.48</v>
      </c>
    </row>
    <row r="10" customFormat="false" ht="13.5" hidden="false" customHeight="false" outlineLevel="0" collapsed="false">
      <c r="A10" s="1" t="s">
        <v>208</v>
      </c>
      <c r="B10" s="1" t="s">
        <v>31</v>
      </c>
      <c r="C10" s="1" t="s">
        <v>209</v>
      </c>
      <c r="D10" s="1" t="s">
        <v>33</v>
      </c>
      <c r="E10" s="1" t="n">
        <v>3</v>
      </c>
      <c r="F10" s="1" t="s">
        <v>187</v>
      </c>
      <c r="G10" s="1" t="s">
        <v>31</v>
      </c>
      <c r="H10" s="1" t="s">
        <v>210</v>
      </c>
      <c r="I10" s="2" t="n">
        <v>43850</v>
      </c>
      <c r="J10" s="2" t="n">
        <v>43850</v>
      </c>
      <c r="K10" s="2" t="n">
        <v>43851</v>
      </c>
      <c r="L10" s="2" t="n">
        <v>43857</v>
      </c>
      <c r="M10" s="2" t="n">
        <v>43854</v>
      </c>
      <c r="N10" s="2" t="n">
        <v>43876</v>
      </c>
      <c r="O10" s="1" t="n">
        <v>0</v>
      </c>
      <c r="P10" s="1" t="n">
        <v>62</v>
      </c>
      <c r="Q10" s="1" t="n">
        <v>27.99036281</v>
      </c>
      <c r="R10" s="2" t="n">
        <v>43850</v>
      </c>
      <c r="S10" s="3" t="n">
        <v>3.7</v>
      </c>
      <c r="T10" s="3" t="n">
        <v>0.7844</v>
      </c>
      <c r="U10" s="3" t="n">
        <v>0.2812</v>
      </c>
      <c r="V10" s="1" t="n">
        <v>156</v>
      </c>
      <c r="W10" s="2" t="n">
        <v>43851</v>
      </c>
      <c r="X10" s="4" t="n">
        <v>23.5</v>
      </c>
      <c r="Y10" s="1" t="n">
        <v>11</v>
      </c>
      <c r="Z10" s="1" t="n">
        <v>25</v>
      </c>
      <c r="AA10" s="1" t="n">
        <v>20</v>
      </c>
      <c r="AB10" s="4" t="n">
        <v>6.3</v>
      </c>
      <c r="AC10" s="4" t="n">
        <v>3.2</v>
      </c>
      <c r="AD10" s="1" t="n">
        <v>73</v>
      </c>
      <c r="AE10" s="1" t="n">
        <v>8.76</v>
      </c>
    </row>
    <row r="11" customFormat="false" ht="13.5" hidden="false" customHeight="false" outlineLevel="0" collapsed="false">
      <c r="A11" s="1" t="s">
        <v>211</v>
      </c>
      <c r="B11" s="1" t="s">
        <v>31</v>
      </c>
      <c r="C11" s="1" t="s">
        <v>212</v>
      </c>
      <c r="D11" s="1" t="s">
        <v>33</v>
      </c>
      <c r="E11" s="1" t="n">
        <v>3</v>
      </c>
      <c r="F11" s="1" t="s">
        <v>187</v>
      </c>
      <c r="G11" s="1" t="s">
        <v>31</v>
      </c>
      <c r="H11" s="1" t="s">
        <v>213</v>
      </c>
      <c r="I11" s="2" t="n">
        <v>43863</v>
      </c>
      <c r="J11" s="2" t="n">
        <v>43865</v>
      </c>
      <c r="K11" s="2" t="n">
        <v>43868</v>
      </c>
      <c r="L11" s="2" t="n">
        <v>43866</v>
      </c>
      <c r="M11" s="2" t="n">
        <v>43866</v>
      </c>
      <c r="N11" s="2" t="n">
        <v>43892</v>
      </c>
      <c r="O11" s="1" t="n">
        <v>1</v>
      </c>
      <c r="P11" s="1" t="n">
        <v>43</v>
      </c>
      <c r="Q11" s="1" t="n">
        <v>24.38652644</v>
      </c>
      <c r="R11" s="2" t="n">
        <v>43865</v>
      </c>
      <c r="S11" s="3" t="n">
        <v>7.59</v>
      </c>
      <c r="T11" s="3" t="n">
        <v>0.783288</v>
      </c>
      <c r="U11" s="3" t="n">
        <v>0.59961</v>
      </c>
      <c r="V11" s="1" t="n">
        <v>174</v>
      </c>
      <c r="W11" s="2" t="n">
        <v>43865</v>
      </c>
      <c r="X11" s="4" t="n">
        <v>37.9</v>
      </c>
      <c r="Y11" s="1" t="n">
        <v>24</v>
      </c>
      <c r="Z11" s="1" t="n">
        <v>24</v>
      </c>
      <c r="AA11" s="1" t="n">
        <v>24</v>
      </c>
      <c r="AB11" s="4" t="n">
        <v>36.4</v>
      </c>
      <c r="AC11" s="4" t="n">
        <v>13.6</v>
      </c>
      <c r="AD11" s="1" t="n">
        <v>95</v>
      </c>
      <c r="AE11" s="1" t="n">
        <v>8.72</v>
      </c>
    </row>
    <row r="12" customFormat="false" ht="13.5" hidden="false" customHeight="false" outlineLevel="0" collapsed="false">
      <c r="A12" s="1" t="s">
        <v>214</v>
      </c>
      <c r="B12" s="1" t="s">
        <v>31</v>
      </c>
      <c r="C12" s="1" t="s">
        <v>215</v>
      </c>
      <c r="D12" s="1" t="s">
        <v>33</v>
      </c>
      <c r="E12" s="1" t="n">
        <v>3</v>
      </c>
      <c r="F12" s="1" t="s">
        <v>187</v>
      </c>
      <c r="G12" s="1" t="s">
        <v>31</v>
      </c>
      <c r="H12" s="1" t="s">
        <v>216</v>
      </c>
      <c r="I12" s="2" t="n">
        <v>43848</v>
      </c>
      <c r="J12" s="2" t="n">
        <v>43861</v>
      </c>
      <c r="K12" s="2" t="n">
        <v>43861</v>
      </c>
      <c r="L12" s="2" t="n">
        <v>43863</v>
      </c>
      <c r="M12" s="2" t="n">
        <v>43862</v>
      </c>
      <c r="N12" s="2" t="n">
        <v>43883</v>
      </c>
      <c r="O12" s="1" t="n">
        <v>1</v>
      </c>
      <c r="P12" s="1" t="n">
        <v>47</v>
      </c>
      <c r="Q12" s="1" t="n">
        <v>22.72043837</v>
      </c>
      <c r="R12" s="2" t="n">
        <v>43861</v>
      </c>
      <c r="S12" s="3" t="n">
        <v>9.14</v>
      </c>
      <c r="T12" s="3" t="n">
        <v>0.625176</v>
      </c>
      <c r="U12" s="3" t="n">
        <v>0.250436</v>
      </c>
      <c r="V12" s="1" t="n">
        <v>292</v>
      </c>
      <c r="W12" s="2" t="n">
        <v>43861</v>
      </c>
      <c r="X12" s="4" t="n">
        <v>29.9</v>
      </c>
      <c r="Y12" s="1" t="n">
        <v>19.6</v>
      </c>
      <c r="Z12" s="1" t="n">
        <v>19</v>
      </c>
      <c r="AA12" s="1" t="n">
        <v>50</v>
      </c>
      <c r="AB12" s="4" t="n">
        <v>15.3</v>
      </c>
      <c r="AC12" s="4" t="n">
        <v>6.2</v>
      </c>
      <c r="AD12" s="1" t="n">
        <v>93</v>
      </c>
      <c r="AE12" s="1" t="n">
        <v>25.63</v>
      </c>
    </row>
    <row r="13" customFormat="false" ht="13.5" hidden="false" customHeight="false" outlineLevel="0" collapsed="false">
      <c r="A13" s="1" t="s">
        <v>217</v>
      </c>
      <c r="B13" s="1" t="s">
        <v>31</v>
      </c>
      <c r="C13" s="1" t="s">
        <v>218</v>
      </c>
      <c r="D13" s="1" t="s">
        <v>33</v>
      </c>
      <c r="E13" s="1" t="n">
        <v>3</v>
      </c>
      <c r="F13" s="1" t="s">
        <v>187</v>
      </c>
      <c r="G13" s="1" t="s">
        <v>31</v>
      </c>
      <c r="H13" s="1" t="s">
        <v>219</v>
      </c>
      <c r="I13" s="2" t="n">
        <v>43863</v>
      </c>
      <c r="J13" s="2" t="n">
        <v>43865</v>
      </c>
      <c r="K13" s="2" t="n">
        <v>43866</v>
      </c>
      <c r="L13" s="2" t="n">
        <v>43866</v>
      </c>
      <c r="M13" s="2" t="n">
        <v>43866</v>
      </c>
      <c r="N13" s="2" t="n">
        <v>43884</v>
      </c>
      <c r="O13" s="1" t="n">
        <v>1</v>
      </c>
      <c r="P13" s="1" t="n">
        <v>70</v>
      </c>
      <c r="Q13" s="1" t="n">
        <v>24.38237298</v>
      </c>
      <c r="R13" s="2" t="n">
        <v>43865</v>
      </c>
      <c r="S13" s="3" t="n">
        <v>6.22</v>
      </c>
      <c r="T13" s="3" t="n">
        <v>0.430424</v>
      </c>
      <c r="U13" s="3" t="n">
        <v>0.21148</v>
      </c>
      <c r="V13" s="1" t="n">
        <v>191</v>
      </c>
      <c r="W13" s="2" t="n">
        <v>43865</v>
      </c>
      <c r="X13" s="4" t="n">
        <v>64.8</v>
      </c>
      <c r="Y13" s="1" t="n">
        <v>30</v>
      </c>
      <c r="Z13" s="1" t="n">
        <v>38</v>
      </c>
      <c r="AA13" s="1" t="n">
        <v>46</v>
      </c>
      <c r="AB13" s="4" t="n">
        <v>11.3</v>
      </c>
      <c r="AC13" s="4" t="n">
        <v>4.7</v>
      </c>
      <c r="AD13" s="1" t="n">
        <v>85</v>
      </c>
      <c r="AE13" s="1" t="n">
        <v>15.31</v>
      </c>
    </row>
    <row r="14" customFormat="false" ht="13.5" hidden="false" customHeight="false" outlineLevel="0" collapsed="false">
      <c r="A14" s="1" t="s">
        <v>220</v>
      </c>
      <c r="B14" s="1" t="s">
        <v>31</v>
      </c>
      <c r="C14" s="1" t="s">
        <v>221</v>
      </c>
      <c r="D14" s="1" t="s">
        <v>33</v>
      </c>
      <c r="E14" s="1" t="n">
        <v>3</v>
      </c>
      <c r="F14" s="1" t="s">
        <v>187</v>
      </c>
      <c r="G14" s="1" t="s">
        <v>31</v>
      </c>
      <c r="H14" s="1" t="s">
        <v>222</v>
      </c>
      <c r="I14" s="2" t="n">
        <v>43854</v>
      </c>
      <c r="J14" s="2" t="n">
        <v>43862</v>
      </c>
      <c r="K14" s="2" t="n">
        <v>43862</v>
      </c>
      <c r="L14" s="2" t="n">
        <v>43863</v>
      </c>
      <c r="M14" s="2" t="n">
        <v>43863</v>
      </c>
      <c r="N14" s="2" t="n">
        <v>43873</v>
      </c>
      <c r="O14" s="1" t="n">
        <v>0</v>
      </c>
      <c r="P14" s="1" t="n">
        <v>64</v>
      </c>
      <c r="Q14" s="1" t="n">
        <v>21.05170826</v>
      </c>
      <c r="R14" s="2" t="n">
        <v>43862</v>
      </c>
      <c r="S14" s="3" t="n">
        <v>12.89</v>
      </c>
      <c r="T14" s="3" t="n">
        <v>0.378966</v>
      </c>
      <c r="U14" s="3" t="n">
        <v>0.494976</v>
      </c>
      <c r="V14" s="1" t="n">
        <v>247</v>
      </c>
      <c r="W14" s="2" t="n">
        <v>43863</v>
      </c>
      <c r="X14" s="4" t="n">
        <v>63.5</v>
      </c>
      <c r="Y14" s="1" t="n">
        <v>12.1</v>
      </c>
      <c r="Z14" s="1" t="n">
        <v>15</v>
      </c>
      <c r="AA14" s="1" t="n">
        <v>24</v>
      </c>
      <c r="AB14" s="4" t="n">
        <v>17.7</v>
      </c>
      <c r="AC14" s="4" t="n">
        <v>6.7</v>
      </c>
      <c r="AD14" s="1" t="n">
        <v>67</v>
      </c>
      <c r="AE14" s="1" t="n">
        <v>8.47</v>
      </c>
    </row>
    <row r="15" customFormat="false" ht="13.5" hidden="false" customHeight="false" outlineLevel="0" collapsed="false">
      <c r="A15" s="1" t="s">
        <v>223</v>
      </c>
      <c r="B15" s="1" t="s">
        <v>31</v>
      </c>
      <c r="C15" s="1" t="s">
        <v>224</v>
      </c>
      <c r="D15" s="1" t="s">
        <v>33</v>
      </c>
      <c r="E15" s="1" t="n">
        <v>3</v>
      </c>
      <c r="F15" s="1" t="s">
        <v>187</v>
      </c>
      <c r="G15" s="1" t="s">
        <v>31</v>
      </c>
      <c r="H15" s="1" t="s">
        <v>225</v>
      </c>
      <c r="I15" s="2" t="n">
        <v>43854</v>
      </c>
      <c r="J15" s="2" t="n">
        <v>43863</v>
      </c>
      <c r="K15" s="2" t="n">
        <v>43863</v>
      </c>
      <c r="L15" s="2" t="n">
        <v>43864</v>
      </c>
      <c r="M15" s="2" t="n">
        <v>43864</v>
      </c>
      <c r="N15" s="2" t="n">
        <v>43899</v>
      </c>
      <c r="O15" s="1" t="n">
        <v>1</v>
      </c>
      <c r="P15" s="1" t="n">
        <v>75</v>
      </c>
      <c r="Q15" s="1" t="n">
        <v>24.4646016</v>
      </c>
      <c r="R15" s="2" t="n">
        <v>43864</v>
      </c>
      <c r="S15" s="3" t="n">
        <v>6.77</v>
      </c>
      <c r="T15" s="3" t="n">
        <v>0.679708</v>
      </c>
      <c r="U15" s="3" t="n">
        <v>0.469838</v>
      </c>
      <c r="V15" s="1" t="n">
        <v>234</v>
      </c>
      <c r="W15" s="2" t="n">
        <v>43864</v>
      </c>
      <c r="X15" s="4" t="n">
        <v>101.89</v>
      </c>
      <c r="Y15" s="1" t="n">
        <v>37</v>
      </c>
      <c r="Z15" s="1" t="n">
        <v>77</v>
      </c>
      <c r="AA15" s="1" t="n">
        <v>78</v>
      </c>
      <c r="AB15" s="4" t="n">
        <v>11</v>
      </c>
      <c r="AC15" s="4" t="n">
        <v>3.8</v>
      </c>
      <c r="AD15" s="1" t="n">
        <v>76</v>
      </c>
      <c r="AE15" s="1" t="n">
        <v>4.58</v>
      </c>
    </row>
    <row r="16" customFormat="false" ht="13.5" hidden="false" customHeight="false" outlineLevel="0" collapsed="false">
      <c r="A16" s="1" t="s">
        <v>226</v>
      </c>
      <c r="B16" s="1" t="s">
        <v>31</v>
      </c>
      <c r="C16" s="1" t="s">
        <v>227</v>
      </c>
      <c r="D16" s="1" t="s">
        <v>33</v>
      </c>
      <c r="E16" s="1" t="n">
        <v>3</v>
      </c>
      <c r="F16" s="1" t="s">
        <v>187</v>
      </c>
      <c r="G16" s="1" t="s">
        <v>31</v>
      </c>
      <c r="H16" s="1" t="s">
        <v>228</v>
      </c>
      <c r="I16" s="2" t="n">
        <v>43862</v>
      </c>
      <c r="J16" s="2" t="n">
        <v>43864</v>
      </c>
      <c r="K16" s="2" t="n">
        <v>43869</v>
      </c>
      <c r="L16" s="2" t="n">
        <v>43865</v>
      </c>
      <c r="M16" s="2" t="n">
        <v>43865</v>
      </c>
      <c r="N16" s="2" t="n">
        <v>43882</v>
      </c>
      <c r="O16" s="1" t="n">
        <v>1</v>
      </c>
      <c r="P16" s="1" t="n">
        <v>51</v>
      </c>
      <c r="Q16" s="1" t="n">
        <v>23.42209073</v>
      </c>
      <c r="R16" s="2" t="n">
        <v>43864</v>
      </c>
      <c r="S16" s="3" t="n">
        <v>8.77</v>
      </c>
      <c r="T16" s="3" t="n">
        <v>2.56084</v>
      </c>
      <c r="U16" s="3" t="n">
        <v>0.42096</v>
      </c>
      <c r="V16" s="1" t="n">
        <v>158</v>
      </c>
      <c r="W16" s="2" t="n">
        <v>43864</v>
      </c>
      <c r="X16" s="4" t="n">
        <v>15</v>
      </c>
      <c r="Y16" s="1" t="n">
        <v>34.7</v>
      </c>
      <c r="Z16" s="1" t="n">
        <v>31</v>
      </c>
      <c r="AA16" s="1" t="n">
        <v>64</v>
      </c>
      <c r="AB16" s="4" t="n">
        <v>25.9</v>
      </c>
      <c r="AC16" s="4" t="n">
        <v>9.9</v>
      </c>
      <c r="AD16" s="1" t="n">
        <v>89</v>
      </c>
      <c r="AE16" s="1" t="n">
        <v>7.79</v>
      </c>
    </row>
    <row r="17" customFormat="false" ht="13.5" hidden="false" customHeight="false" outlineLevel="0" collapsed="false">
      <c r="A17" s="1" t="s">
        <v>229</v>
      </c>
      <c r="B17" s="1" t="s">
        <v>54</v>
      </c>
      <c r="C17" s="1" t="s">
        <v>33</v>
      </c>
      <c r="D17" s="1" t="s">
        <v>33</v>
      </c>
      <c r="E17" s="1" t="n">
        <v>3</v>
      </c>
      <c r="F17" s="1" t="s">
        <v>33</v>
      </c>
      <c r="G17" s="1" t="s">
        <v>31</v>
      </c>
      <c r="H17" s="1" t="s">
        <v>230</v>
      </c>
      <c r="I17" s="2" t="n">
        <v>43839</v>
      </c>
      <c r="J17" s="2" t="n">
        <v>43849</v>
      </c>
      <c r="K17" s="2" t="n">
        <v>43849</v>
      </c>
      <c r="L17" s="2" t="n">
        <v>43849</v>
      </c>
      <c r="M17" s="2" t="s">
        <v>33</v>
      </c>
      <c r="N17" s="2" t="n">
        <v>43882</v>
      </c>
      <c r="O17" s="1" t="n">
        <v>0</v>
      </c>
      <c r="P17" s="1" t="n">
        <v>55</v>
      </c>
      <c r="Q17" s="1" t="n">
        <v>22.58270917</v>
      </c>
      <c r="R17" s="2" t="n">
        <v>43850</v>
      </c>
      <c r="S17" s="3" t="n">
        <v>6.9</v>
      </c>
      <c r="T17" s="3" t="n">
        <v>0.3726</v>
      </c>
      <c r="U17" s="3" t="n">
        <v>0.1242</v>
      </c>
      <c r="V17" s="1" t="n">
        <v>125</v>
      </c>
      <c r="W17" s="2" t="n">
        <v>43850</v>
      </c>
      <c r="X17" s="4" t="n">
        <v>185</v>
      </c>
      <c r="Y17" s="1" t="n">
        <v>20</v>
      </c>
      <c r="Z17" s="1" t="n">
        <v>64</v>
      </c>
      <c r="AA17" s="1" t="n">
        <v>37</v>
      </c>
      <c r="AB17" s="4" t="n">
        <v>6.1</v>
      </c>
      <c r="AC17" s="4" t="n">
        <v>2.7</v>
      </c>
      <c r="AD17" s="1" t="n">
        <v>62</v>
      </c>
      <c r="AE17" s="1" t="n">
        <v>7.05</v>
      </c>
    </row>
    <row r="18" customFormat="false" ht="13.5" hidden="false" customHeight="false" outlineLevel="0" collapsed="false">
      <c r="A18" s="1" t="s">
        <v>231</v>
      </c>
      <c r="B18" s="1" t="s">
        <v>31</v>
      </c>
      <c r="C18" s="1" t="s">
        <v>232</v>
      </c>
      <c r="D18" s="1" t="s">
        <v>33</v>
      </c>
      <c r="E18" s="1" t="n">
        <v>3</v>
      </c>
      <c r="F18" s="1" t="s">
        <v>187</v>
      </c>
      <c r="G18" s="1" t="s">
        <v>31</v>
      </c>
      <c r="H18" s="1" t="s">
        <v>233</v>
      </c>
      <c r="I18" s="2" t="n">
        <v>43857</v>
      </c>
      <c r="J18" s="2" t="n">
        <v>43862</v>
      </c>
      <c r="K18" s="2" t="n">
        <v>43865</v>
      </c>
      <c r="L18" s="2" t="n">
        <v>43863</v>
      </c>
      <c r="M18" s="2" t="n">
        <v>43863</v>
      </c>
      <c r="N18" s="2" t="n">
        <v>43892</v>
      </c>
      <c r="O18" s="1" t="n">
        <v>0</v>
      </c>
      <c r="P18" s="1" t="n">
        <v>52</v>
      </c>
      <c r="Q18" s="1" t="n">
        <v>24.67550027</v>
      </c>
      <c r="R18" s="2" t="n">
        <v>43862</v>
      </c>
      <c r="S18" s="3" t="n">
        <v>3.91</v>
      </c>
      <c r="T18" s="3" t="n">
        <v>0.982974</v>
      </c>
      <c r="U18" s="3" t="n">
        <v>0.200974</v>
      </c>
      <c r="V18" s="1" t="n">
        <v>175</v>
      </c>
      <c r="W18" s="2" t="n">
        <v>43862</v>
      </c>
      <c r="X18" s="4" t="n">
        <v>17.9</v>
      </c>
      <c r="Y18" s="1" t="n">
        <v>29.4</v>
      </c>
      <c r="Z18" s="1" t="n">
        <v>29</v>
      </c>
      <c r="AA18" s="1" t="n">
        <v>27</v>
      </c>
      <c r="AB18" s="4" t="n">
        <v>15.5</v>
      </c>
      <c r="AC18" s="4" t="n">
        <v>6.5</v>
      </c>
      <c r="AD18" s="1" t="n">
        <v>63</v>
      </c>
      <c r="AE18" s="1" t="n">
        <v>7.35</v>
      </c>
    </row>
    <row r="19" customFormat="false" ht="13.5" hidden="false" customHeight="false" outlineLevel="0" collapsed="false">
      <c r="A19" s="1" t="s">
        <v>234</v>
      </c>
      <c r="B19" s="1" t="s">
        <v>31</v>
      </c>
      <c r="C19" s="1" t="s">
        <v>235</v>
      </c>
      <c r="D19" s="1" t="s">
        <v>33</v>
      </c>
      <c r="E19" s="1" t="n">
        <v>3</v>
      </c>
      <c r="F19" s="1" t="s">
        <v>236</v>
      </c>
      <c r="G19" s="1" t="s">
        <v>31</v>
      </c>
      <c r="H19" s="1" t="s">
        <v>237</v>
      </c>
      <c r="I19" s="2" t="n">
        <v>43854</v>
      </c>
      <c r="J19" s="2" t="n">
        <v>43862</v>
      </c>
      <c r="K19" s="2" t="n">
        <v>43865</v>
      </c>
      <c r="L19" s="2" t="n">
        <v>43863</v>
      </c>
      <c r="M19" s="2" t="n">
        <v>43863</v>
      </c>
      <c r="N19" s="2" t="n">
        <v>43888</v>
      </c>
      <c r="O19" s="1" t="n">
        <v>1</v>
      </c>
      <c r="P19" s="1" t="n">
        <v>55</v>
      </c>
      <c r="Q19" s="1" t="n">
        <v>24.91349481</v>
      </c>
      <c r="R19" s="2" t="n">
        <v>43862</v>
      </c>
      <c r="S19" s="3" t="n">
        <v>6.08</v>
      </c>
      <c r="T19" s="3" t="n">
        <v>0.652992</v>
      </c>
      <c r="U19" s="3" t="n">
        <v>0.330752</v>
      </c>
      <c r="V19" s="1" t="n">
        <v>138</v>
      </c>
      <c r="W19" s="2" t="n">
        <v>43862</v>
      </c>
      <c r="X19" s="4" t="n">
        <v>89.8</v>
      </c>
      <c r="Y19" s="1" t="n">
        <v>44</v>
      </c>
      <c r="Z19" s="1" t="n">
        <v>61</v>
      </c>
      <c r="AA19" s="1" t="n">
        <v>32</v>
      </c>
      <c r="AB19" s="4" t="n">
        <v>20.9</v>
      </c>
      <c r="AC19" s="4" t="n">
        <v>8.5</v>
      </c>
      <c r="AD19" s="1" t="n">
        <v>142</v>
      </c>
      <c r="AE19" s="1" t="n">
        <v>21.37</v>
      </c>
    </row>
    <row r="20" customFormat="false" ht="13.5" hidden="false" customHeight="false" outlineLevel="0" collapsed="false">
      <c r="A20" s="1" t="s">
        <v>238</v>
      </c>
      <c r="B20" s="1" t="s">
        <v>31</v>
      </c>
      <c r="C20" s="1" t="s">
        <v>239</v>
      </c>
      <c r="D20" s="1" t="s">
        <v>33</v>
      </c>
      <c r="E20" s="1" t="n">
        <v>3</v>
      </c>
      <c r="F20" s="1" t="s">
        <v>236</v>
      </c>
      <c r="G20" s="1" t="s">
        <v>31</v>
      </c>
      <c r="H20" s="1" t="s">
        <v>240</v>
      </c>
      <c r="I20" s="2" t="n">
        <v>43854</v>
      </c>
      <c r="J20" s="2" t="n">
        <v>43862</v>
      </c>
      <c r="K20" s="2" t="n">
        <v>43865</v>
      </c>
      <c r="L20" s="2" t="n">
        <v>43863</v>
      </c>
      <c r="M20" s="2" t="n">
        <v>43863</v>
      </c>
      <c r="N20" s="2" t="n">
        <v>43895</v>
      </c>
      <c r="O20" s="1" t="n">
        <v>0</v>
      </c>
      <c r="P20" s="1" t="n">
        <v>65</v>
      </c>
      <c r="Q20" s="1" t="n">
        <v>24.08822312</v>
      </c>
      <c r="R20" s="2" t="n">
        <v>43865</v>
      </c>
      <c r="S20" s="3" t="n">
        <v>6.13</v>
      </c>
      <c r="T20" s="3" t="n">
        <v>0.462202</v>
      </c>
      <c r="U20" s="3" t="n">
        <v>0.210872</v>
      </c>
      <c r="V20" s="1" t="n">
        <v>124</v>
      </c>
      <c r="W20" s="2" t="n">
        <v>43865</v>
      </c>
      <c r="X20" s="4" t="n">
        <v>173.9</v>
      </c>
      <c r="Y20" s="1" t="n">
        <v>63.1</v>
      </c>
      <c r="Z20" s="1" t="n">
        <v>85</v>
      </c>
      <c r="AA20" s="1" t="n">
        <v>76</v>
      </c>
      <c r="AB20" s="4" t="n">
        <v>17.3</v>
      </c>
      <c r="AC20" s="4" t="n">
        <v>7.5</v>
      </c>
      <c r="AD20" s="1" t="n">
        <v>169</v>
      </c>
      <c r="AE20" s="1" t="n">
        <v>8.63</v>
      </c>
    </row>
    <row r="21" customFormat="false" ht="13.5" hidden="false" customHeight="false" outlineLevel="0" collapsed="false">
      <c r="A21" s="1" t="s">
        <v>241</v>
      </c>
      <c r="B21" s="1" t="s">
        <v>31</v>
      </c>
      <c r="C21" s="1" t="s">
        <v>242</v>
      </c>
      <c r="D21" s="1" t="s">
        <v>33</v>
      </c>
      <c r="E21" s="1" t="n">
        <v>3</v>
      </c>
      <c r="F21" s="1" t="s">
        <v>236</v>
      </c>
      <c r="G21" s="1" t="s">
        <v>31</v>
      </c>
      <c r="H21" s="1" t="s">
        <v>243</v>
      </c>
      <c r="I21" s="2" t="n">
        <v>43840</v>
      </c>
      <c r="J21" s="2" t="n">
        <v>43863</v>
      </c>
      <c r="K21" s="2" t="n">
        <v>43865</v>
      </c>
      <c r="L21" s="2" t="n">
        <v>43864</v>
      </c>
      <c r="M21" s="2" t="n">
        <v>43864</v>
      </c>
      <c r="N21" s="2" t="n">
        <v>43884</v>
      </c>
      <c r="O21" s="1" t="n">
        <v>1</v>
      </c>
      <c r="P21" s="1" t="n">
        <v>62</v>
      </c>
      <c r="Q21" s="1" t="s">
        <v>33</v>
      </c>
      <c r="R21" s="2" t="n">
        <v>43863</v>
      </c>
      <c r="S21" s="3" t="n">
        <v>5.62</v>
      </c>
      <c r="T21" s="3" t="n">
        <v>0.900324</v>
      </c>
      <c r="U21" s="3" t="n">
        <v>0.4215</v>
      </c>
      <c r="V21" s="1" t="n">
        <v>123</v>
      </c>
      <c r="W21" s="2" t="n">
        <v>43863</v>
      </c>
      <c r="X21" s="4" t="n">
        <v>7.1</v>
      </c>
      <c r="Y21" s="1" t="n">
        <v>53.2</v>
      </c>
      <c r="Z21" s="1" t="n">
        <v>57</v>
      </c>
      <c r="AA21" s="1" t="n">
        <v>33</v>
      </c>
      <c r="AB21" s="4" t="n">
        <v>18.8</v>
      </c>
      <c r="AC21" s="4" t="n">
        <v>6.8</v>
      </c>
      <c r="AD21" s="1" t="n">
        <v>72</v>
      </c>
      <c r="AE21" s="1" t="n">
        <v>7.31</v>
      </c>
    </row>
    <row r="22" customFormat="false" ht="13.5" hidden="false" customHeight="false" outlineLevel="0" collapsed="false">
      <c r="A22" s="1" t="s">
        <v>244</v>
      </c>
      <c r="B22" s="1" t="s">
        <v>31</v>
      </c>
      <c r="C22" s="1" t="s">
        <v>245</v>
      </c>
      <c r="D22" s="1" t="s">
        <v>33</v>
      </c>
      <c r="E22" s="1" t="n">
        <v>3</v>
      </c>
      <c r="F22" s="1" t="s">
        <v>236</v>
      </c>
      <c r="G22" s="1" t="s">
        <v>31</v>
      </c>
      <c r="H22" s="1" t="s">
        <v>246</v>
      </c>
      <c r="I22" s="2" t="n">
        <v>43851</v>
      </c>
      <c r="J22" s="2" t="n">
        <v>43861</v>
      </c>
      <c r="K22" s="2" t="n">
        <v>43861</v>
      </c>
      <c r="L22" s="2" t="n">
        <v>43863</v>
      </c>
      <c r="M22" s="2" t="n">
        <v>43863</v>
      </c>
      <c r="N22" s="2" t="n">
        <v>43881</v>
      </c>
      <c r="O22" s="1" t="n">
        <v>0</v>
      </c>
      <c r="P22" s="1" t="n">
        <v>59</v>
      </c>
      <c r="Q22" s="1" t="n">
        <v>28.3446712</v>
      </c>
      <c r="R22" s="2" t="n">
        <v>43861</v>
      </c>
      <c r="S22" s="3" t="n">
        <v>23.55</v>
      </c>
      <c r="T22" s="3" t="n">
        <v>0.64527</v>
      </c>
      <c r="U22" s="3" t="n">
        <v>0.69237</v>
      </c>
      <c r="V22" s="1" t="n">
        <v>287</v>
      </c>
      <c r="W22" s="2" t="n">
        <v>43861</v>
      </c>
      <c r="X22" s="4" t="n">
        <v>13</v>
      </c>
      <c r="Y22" s="1" t="n">
        <v>18.5</v>
      </c>
      <c r="Z22" s="1" t="n">
        <v>14</v>
      </c>
      <c r="AA22" s="1" t="n">
        <v>22</v>
      </c>
      <c r="AB22" s="4" t="n">
        <v>16.9</v>
      </c>
      <c r="AC22" s="4" t="n">
        <v>6.3</v>
      </c>
      <c r="AD22" s="1" t="n">
        <v>88</v>
      </c>
      <c r="AE22" s="1" t="n">
        <v>9.84</v>
      </c>
    </row>
    <row r="23" customFormat="false" ht="13.5" hidden="false" customHeight="false" outlineLevel="0" collapsed="false">
      <c r="A23" s="1" t="s">
        <v>247</v>
      </c>
      <c r="B23" s="1" t="s">
        <v>31</v>
      </c>
      <c r="C23" s="1" t="s">
        <v>247</v>
      </c>
      <c r="D23" s="1" t="s">
        <v>33</v>
      </c>
      <c r="E23" s="1" t="n">
        <v>3</v>
      </c>
      <c r="F23" s="1" t="s">
        <v>248</v>
      </c>
      <c r="G23" s="1" t="s">
        <v>31</v>
      </c>
      <c r="H23" s="1" t="s">
        <v>247</v>
      </c>
      <c r="I23" s="2" t="n">
        <v>43862</v>
      </c>
      <c r="J23" s="2" t="n">
        <v>43870</v>
      </c>
      <c r="K23" s="2" t="n">
        <v>43870</v>
      </c>
      <c r="L23" s="2" t="n">
        <v>43870</v>
      </c>
      <c r="M23" s="2" t="n">
        <v>43870</v>
      </c>
      <c r="N23" s="2" t="n">
        <v>43887</v>
      </c>
      <c r="O23" s="1" t="n">
        <v>1</v>
      </c>
      <c r="P23" s="1" t="n">
        <v>65</v>
      </c>
      <c r="Q23" s="1" t="n">
        <v>22.2222222222222</v>
      </c>
      <c r="R23" s="2" t="n">
        <v>43870</v>
      </c>
      <c r="S23" s="3" t="n">
        <v>6.19</v>
      </c>
      <c r="T23" s="3" t="n">
        <v>0.689566</v>
      </c>
      <c r="U23" s="3" t="n">
        <v>0.522436</v>
      </c>
      <c r="V23" s="1" t="n">
        <v>257</v>
      </c>
      <c r="W23" s="2" t="n">
        <v>43870</v>
      </c>
      <c r="X23" s="4" t="n">
        <v>10.4</v>
      </c>
      <c r="Y23" s="1" t="n">
        <v>31.6</v>
      </c>
      <c r="Z23" s="1" t="n">
        <v>41</v>
      </c>
      <c r="AA23" s="1" t="n">
        <v>25</v>
      </c>
      <c r="AB23" s="4" t="n">
        <v>24.4</v>
      </c>
      <c r="AC23" s="4" t="n">
        <v>10.6</v>
      </c>
      <c r="AD23" s="1" t="n">
        <v>56</v>
      </c>
      <c r="AE23" s="1" t="n">
        <v>6.16</v>
      </c>
    </row>
    <row r="24" customFormat="false" ht="13.5" hidden="false" customHeight="false" outlineLevel="0" collapsed="false">
      <c r="A24" s="1" t="s">
        <v>249</v>
      </c>
      <c r="B24" s="1" t="s">
        <v>31</v>
      </c>
      <c r="C24" s="1" t="s">
        <v>249</v>
      </c>
      <c r="D24" s="1" t="s">
        <v>33</v>
      </c>
      <c r="E24" s="1" t="n">
        <v>3</v>
      </c>
      <c r="F24" s="1" t="s">
        <v>248</v>
      </c>
      <c r="G24" s="1" t="s">
        <v>31</v>
      </c>
      <c r="H24" s="1" t="s">
        <v>249</v>
      </c>
      <c r="I24" s="2" t="n">
        <v>43860</v>
      </c>
      <c r="J24" s="2" t="n">
        <v>43870</v>
      </c>
      <c r="K24" s="2" t="n">
        <v>43870</v>
      </c>
      <c r="L24" s="2" t="n">
        <v>43871</v>
      </c>
      <c r="M24" s="2" t="n">
        <v>43871</v>
      </c>
      <c r="N24" s="2" t="n">
        <v>43897</v>
      </c>
      <c r="O24" s="1" t="n">
        <v>1</v>
      </c>
      <c r="P24" s="1" t="n">
        <v>51</v>
      </c>
      <c r="Q24" s="1" t="s">
        <v>33</v>
      </c>
      <c r="R24" s="2" t="n">
        <v>43871</v>
      </c>
      <c r="S24" s="3" t="n">
        <v>4.38</v>
      </c>
      <c r="T24" s="3" t="n">
        <v>0.693792</v>
      </c>
      <c r="U24" s="3" t="n">
        <v>0.211992</v>
      </c>
      <c r="V24" s="1" t="n">
        <v>209</v>
      </c>
      <c r="W24" s="2" t="n">
        <v>43871</v>
      </c>
      <c r="X24" s="4" t="n">
        <v>16.7</v>
      </c>
      <c r="Y24" s="1" t="n">
        <v>17.8</v>
      </c>
      <c r="Z24" s="1" t="n">
        <v>27</v>
      </c>
      <c r="AA24" s="1" t="n">
        <v>19</v>
      </c>
      <c r="AB24" s="4" t="n">
        <v>19.8</v>
      </c>
      <c r="AC24" s="4" t="n">
        <v>7.4</v>
      </c>
      <c r="AD24" s="1" t="n">
        <v>75</v>
      </c>
      <c r="AE24" s="1" t="n">
        <v>7.64</v>
      </c>
    </row>
    <row r="25" customFormat="false" ht="13.5" hidden="false" customHeight="false" outlineLevel="0" collapsed="false">
      <c r="A25" s="1" t="s">
        <v>250</v>
      </c>
      <c r="B25" s="1" t="s">
        <v>31</v>
      </c>
      <c r="C25" s="1" t="s">
        <v>250</v>
      </c>
      <c r="D25" s="1" t="s">
        <v>33</v>
      </c>
      <c r="E25" s="1" t="n">
        <v>3</v>
      </c>
      <c r="F25" s="1" t="s">
        <v>248</v>
      </c>
      <c r="G25" s="1" t="s">
        <v>31</v>
      </c>
      <c r="H25" s="1" t="s">
        <v>250</v>
      </c>
      <c r="I25" s="2" t="n">
        <v>43862</v>
      </c>
      <c r="J25" s="2" t="n">
        <v>43868</v>
      </c>
      <c r="K25" s="2" t="n">
        <v>43870</v>
      </c>
      <c r="L25" s="2" t="n">
        <v>43869</v>
      </c>
      <c r="M25" s="2" t="n">
        <v>43869</v>
      </c>
      <c r="N25" s="2" t="n">
        <v>43899</v>
      </c>
      <c r="O25" s="1" t="n">
        <v>0</v>
      </c>
      <c r="P25" s="1" t="n">
        <v>56</v>
      </c>
      <c r="Q25" s="1" t="n">
        <v>26.5731292517007</v>
      </c>
      <c r="R25" s="2" t="n">
        <v>43868</v>
      </c>
      <c r="S25" s="3" t="n">
        <v>7.55</v>
      </c>
      <c r="T25" s="3" t="n">
        <v>0.24311</v>
      </c>
      <c r="U25" s="3" t="n">
        <v>0.2718</v>
      </c>
      <c r="V25" s="1" t="n">
        <v>112</v>
      </c>
      <c r="W25" s="2" t="n">
        <v>43868</v>
      </c>
      <c r="X25" s="4" t="n">
        <v>7</v>
      </c>
      <c r="Y25" s="1" t="n">
        <v>55.2</v>
      </c>
      <c r="Z25" s="1" t="n">
        <v>30</v>
      </c>
      <c r="AA25" s="1" t="n">
        <v>76</v>
      </c>
      <c r="AB25" s="4" t="n">
        <v>15.3</v>
      </c>
      <c r="AC25" s="4" t="n">
        <v>4.9</v>
      </c>
      <c r="AD25" s="1" t="n">
        <v>75</v>
      </c>
      <c r="AE25" s="1" t="n">
        <v>16.08</v>
      </c>
    </row>
    <row r="26" customFormat="false" ht="13.5" hidden="false" customHeight="false" outlineLevel="0" collapsed="false">
      <c r="A26" s="1" t="s">
        <v>251</v>
      </c>
      <c r="B26" s="1" t="s">
        <v>31</v>
      </c>
      <c r="C26" s="1" t="s">
        <v>251</v>
      </c>
      <c r="D26" s="1" t="s">
        <v>33</v>
      </c>
      <c r="E26" s="1" t="n">
        <v>3</v>
      </c>
      <c r="F26" s="1" t="s">
        <v>248</v>
      </c>
      <c r="G26" s="1" t="s">
        <v>31</v>
      </c>
      <c r="H26" s="1" t="s">
        <v>251</v>
      </c>
      <c r="I26" s="2" t="n">
        <v>43861</v>
      </c>
      <c r="J26" s="2" t="n">
        <v>43871</v>
      </c>
      <c r="K26" s="2" t="n">
        <v>43873</v>
      </c>
      <c r="L26" s="2" t="n">
        <v>43872</v>
      </c>
      <c r="M26" s="2" t="n">
        <v>43872</v>
      </c>
      <c r="N26" s="2" t="n">
        <v>43893</v>
      </c>
      <c r="O26" s="1" t="n">
        <v>0</v>
      </c>
      <c r="P26" s="1" t="n">
        <v>33</v>
      </c>
      <c r="Q26" s="1" t="n">
        <v>26.3656030286641</v>
      </c>
      <c r="R26" s="2" t="n">
        <v>43871</v>
      </c>
      <c r="S26" s="3" t="n">
        <v>10.05</v>
      </c>
      <c r="T26" s="3" t="n">
        <v>0.63717</v>
      </c>
      <c r="U26" s="3" t="n">
        <v>0.52662</v>
      </c>
      <c r="V26" s="1" t="n">
        <v>200</v>
      </c>
      <c r="W26" s="2" t="n">
        <v>43871</v>
      </c>
      <c r="X26" s="4" t="n">
        <v>29.9</v>
      </c>
      <c r="Y26" s="1" t="n">
        <v>17.5</v>
      </c>
      <c r="Z26" s="1" t="n">
        <v>13</v>
      </c>
      <c r="AA26" s="1" t="n">
        <v>37</v>
      </c>
      <c r="AB26" s="4" t="n">
        <v>11.6</v>
      </c>
      <c r="AC26" s="4" t="n">
        <v>3.3</v>
      </c>
      <c r="AD26" s="1" t="n">
        <v>93</v>
      </c>
      <c r="AE26" s="1" t="n">
        <v>9.92</v>
      </c>
    </row>
    <row r="27" customFormat="false" ht="13.5" hidden="false" customHeight="false" outlineLevel="0" collapsed="false">
      <c r="A27" s="1" t="s">
        <v>252</v>
      </c>
      <c r="B27" s="1" t="s">
        <v>31</v>
      </c>
      <c r="C27" s="1" t="s">
        <v>252</v>
      </c>
      <c r="D27" s="1" t="s">
        <v>33</v>
      </c>
      <c r="E27" s="1" t="n">
        <v>3</v>
      </c>
      <c r="F27" s="1" t="s">
        <v>248</v>
      </c>
      <c r="G27" s="1" t="s">
        <v>31</v>
      </c>
      <c r="H27" s="1" t="s">
        <v>252</v>
      </c>
      <c r="I27" s="2" t="n">
        <v>43860</v>
      </c>
      <c r="J27" s="2" t="n">
        <v>43867</v>
      </c>
      <c r="K27" s="2" t="n">
        <v>43868</v>
      </c>
      <c r="L27" s="2" t="n">
        <v>43868</v>
      </c>
      <c r="M27" s="2" t="n">
        <v>43868</v>
      </c>
      <c r="N27" s="2" t="n">
        <v>43900</v>
      </c>
      <c r="O27" s="1" t="n">
        <v>0</v>
      </c>
      <c r="P27" s="1" t="n">
        <v>68</v>
      </c>
      <c r="Q27" s="1" t="s">
        <v>33</v>
      </c>
      <c r="R27" s="2" t="n">
        <v>43867</v>
      </c>
      <c r="S27" s="3" t="n">
        <v>7.76</v>
      </c>
      <c r="T27" s="3" t="n">
        <v>0.4</v>
      </c>
      <c r="U27" s="3" t="n">
        <v>0.4</v>
      </c>
      <c r="V27" s="1" t="n">
        <v>151</v>
      </c>
      <c r="W27" s="2" t="n">
        <v>43867</v>
      </c>
      <c r="X27" s="4" t="n">
        <v>1.3</v>
      </c>
      <c r="Y27" s="1" t="n">
        <v>10.1</v>
      </c>
      <c r="Z27" s="1" t="n">
        <v>28</v>
      </c>
      <c r="AA27" s="1" t="n">
        <v>22</v>
      </c>
      <c r="AB27" s="4" t="n">
        <v>11.2</v>
      </c>
      <c r="AC27" s="4" t="n">
        <v>3.9</v>
      </c>
      <c r="AD27" s="1" t="n">
        <v>61</v>
      </c>
      <c r="AE27" s="1" t="n">
        <v>8.29</v>
      </c>
    </row>
    <row r="28" customFormat="false" ht="13.5" hidden="false" customHeight="false" outlineLevel="0" collapsed="false">
      <c r="A28" s="1" t="s">
        <v>253</v>
      </c>
      <c r="B28" s="1" t="s">
        <v>31</v>
      </c>
      <c r="C28" s="1" t="s">
        <v>253</v>
      </c>
      <c r="D28" s="1" t="s">
        <v>33</v>
      </c>
      <c r="E28" s="1" t="n">
        <v>3</v>
      </c>
      <c r="F28" s="1" t="s">
        <v>248</v>
      </c>
      <c r="G28" s="1" t="s">
        <v>31</v>
      </c>
      <c r="H28" s="1" t="s">
        <v>253</v>
      </c>
      <c r="I28" s="2" t="n">
        <v>43875</v>
      </c>
      <c r="J28" s="2" t="n">
        <v>43876</v>
      </c>
      <c r="K28" s="2" t="n">
        <v>43876</v>
      </c>
      <c r="L28" s="2" t="n">
        <v>43878</v>
      </c>
      <c r="M28" s="2" t="n">
        <v>43878</v>
      </c>
      <c r="N28" s="2" t="n">
        <v>43897</v>
      </c>
      <c r="O28" s="1" t="n">
        <v>1</v>
      </c>
      <c r="P28" s="1" t="n">
        <v>77</v>
      </c>
      <c r="Q28" s="1" t="n">
        <v>26.2226847034339</v>
      </c>
      <c r="R28" s="2" t="n">
        <v>43877</v>
      </c>
      <c r="S28" s="3" t="n">
        <v>4.31</v>
      </c>
      <c r="T28" s="3" t="n">
        <v>0.862</v>
      </c>
      <c r="U28" s="3" t="n">
        <v>0.33187</v>
      </c>
      <c r="V28" s="3" t="n">
        <v>161</v>
      </c>
      <c r="W28" s="2" t="n">
        <v>43877</v>
      </c>
      <c r="X28" s="3" t="n">
        <v>27.2</v>
      </c>
      <c r="Y28" s="3" t="n">
        <v>9.5</v>
      </c>
      <c r="Z28" s="3" t="n">
        <v>15</v>
      </c>
      <c r="AA28" s="3" t="n">
        <v>14</v>
      </c>
      <c r="AB28" s="3" t="n">
        <v>9.2</v>
      </c>
      <c r="AC28" s="3" t="n">
        <v>3.8</v>
      </c>
      <c r="AD28" s="3" t="n">
        <v>81</v>
      </c>
      <c r="AE28" s="1" t="n">
        <v>8.01</v>
      </c>
    </row>
    <row r="29" customFormat="false" ht="13.5" hidden="false" customHeight="false" outlineLevel="0" collapsed="false">
      <c r="A29" s="1" t="s">
        <v>254</v>
      </c>
      <c r="B29" s="1" t="s">
        <v>31</v>
      </c>
      <c r="C29" s="1" t="s">
        <v>254</v>
      </c>
      <c r="D29" s="1" t="s">
        <v>33</v>
      </c>
      <c r="E29" s="1" t="n">
        <v>3</v>
      </c>
      <c r="F29" s="1" t="s">
        <v>248</v>
      </c>
      <c r="G29" s="1" t="s">
        <v>31</v>
      </c>
      <c r="H29" s="1" t="s">
        <v>254</v>
      </c>
      <c r="I29" s="2" t="n">
        <v>43856</v>
      </c>
      <c r="J29" s="2" t="n">
        <v>43864</v>
      </c>
      <c r="K29" s="2" t="n">
        <v>43864</v>
      </c>
      <c r="L29" s="2" t="n">
        <v>43865</v>
      </c>
      <c r="M29" s="2" t="n">
        <v>43865</v>
      </c>
      <c r="N29" s="2" t="n">
        <v>43894</v>
      </c>
      <c r="O29" s="1" t="n">
        <v>0</v>
      </c>
      <c r="P29" s="1" t="n">
        <v>44</v>
      </c>
      <c r="Q29" s="1" t="n">
        <v>29.41176471</v>
      </c>
      <c r="R29" s="2" t="n">
        <v>43864</v>
      </c>
      <c r="S29" s="3" t="n">
        <v>5.91</v>
      </c>
      <c r="T29" s="3" t="n">
        <v>1.190274</v>
      </c>
      <c r="U29" s="3" t="n">
        <v>0.622914</v>
      </c>
      <c r="V29" s="1" t="n">
        <v>287</v>
      </c>
      <c r="W29" s="2" t="n">
        <v>43864</v>
      </c>
      <c r="X29" s="4" t="n">
        <v>56.5</v>
      </c>
      <c r="Y29" s="1" t="n">
        <v>28.1</v>
      </c>
      <c r="Z29" s="1" t="n">
        <v>28</v>
      </c>
      <c r="AA29" s="1" t="n">
        <v>37</v>
      </c>
      <c r="AB29" s="4" t="n">
        <v>10.5</v>
      </c>
      <c r="AC29" s="4" t="n">
        <v>4.7</v>
      </c>
      <c r="AD29" s="1" t="n">
        <v>75</v>
      </c>
      <c r="AE29" s="1" t="n">
        <v>9.44</v>
      </c>
    </row>
    <row r="31" customFormat="false" ht="13.5" hidden="false" customHeight="false" outlineLevel="0" collapsed="false">
      <c r="I31" s="2" t="s">
        <v>343</v>
      </c>
      <c r="J31" s="2" t="s">
        <v>344</v>
      </c>
      <c r="P31" s="1" t="n">
        <f aca="false">AVERAGE(P2:P29)</f>
        <v>54.8214285714286</v>
      </c>
      <c r="Q31" s="1" t="n">
        <f aca="false">AVERAGE(Q2:Q29)</f>
        <v>25.5148223162493</v>
      </c>
    </row>
    <row r="32" customFormat="false" ht="13.5" hidden="false" customHeight="false" outlineLevel="0" collapsed="false">
      <c r="I32" s="11" t="n">
        <f aca="false">25-23</f>
        <v>2</v>
      </c>
      <c r="J32" s="11"/>
      <c r="P32" s="1" t="n">
        <f aca="false">MEDIAN(P2:P29)</f>
        <v>55</v>
      </c>
      <c r="Q32" s="1" t="n">
        <f aca="false">MEDIAN(Q2:Q29)</f>
        <v>24.91349481</v>
      </c>
    </row>
    <row r="33" customFormat="false" ht="13.5" hidden="false" customHeight="false" outlineLevel="0" collapsed="false">
      <c r="C33" s="9"/>
      <c r="I33" s="11" t="n">
        <f aca="false">28-25</f>
        <v>3</v>
      </c>
      <c r="J33" s="11"/>
      <c r="P33" s="1" t="n">
        <f aca="false">MIN(P2:P29)</f>
        <v>30</v>
      </c>
      <c r="Q33" s="1" t="n">
        <f aca="false">MIN(Q2:Q29)</f>
        <v>21.05170826</v>
      </c>
    </row>
    <row r="34" customFormat="false" ht="13.5" hidden="false" customHeight="false" outlineLevel="0" collapsed="false">
      <c r="I34" s="11" t="n">
        <f aca="false">27-15</f>
        <v>12</v>
      </c>
      <c r="J34" s="11"/>
      <c r="P34" s="1" t="n">
        <f aca="false">MAX(P2:P29)</f>
        <v>77</v>
      </c>
      <c r="Q34" s="1" t="n">
        <f aca="false">MAX(Q2:Q29)</f>
        <v>31.26690103</v>
      </c>
    </row>
    <row r="35" customFormat="false" ht="13.5" hidden="false" customHeight="false" outlineLevel="0" collapsed="false">
      <c r="I35" s="11" t="n">
        <f aca="false">24-19</f>
        <v>5</v>
      </c>
      <c r="J35" s="11"/>
    </row>
    <row r="36" customFormat="false" ht="13.5" hidden="false" customHeight="false" outlineLevel="0" collapsed="false">
      <c r="I36" s="11" t="n">
        <f aca="false">25-23</f>
        <v>2</v>
      </c>
      <c r="J36" s="11"/>
    </row>
    <row r="37" customFormat="false" ht="13.5" hidden="false" customHeight="false" outlineLevel="0" collapsed="false">
      <c r="I37" s="11" t="n">
        <f aca="false">23-21</f>
        <v>2</v>
      </c>
      <c r="J37" s="11"/>
    </row>
    <row r="38" customFormat="false" ht="13.5" hidden="false" customHeight="false" outlineLevel="0" collapsed="false">
      <c r="I38" s="11" t="n">
        <f aca="false">24-9</f>
        <v>15</v>
      </c>
      <c r="J38" s="11"/>
    </row>
    <row r="39" customFormat="false" ht="13.5" hidden="false" customHeight="false" outlineLevel="0" collapsed="false">
      <c r="I39" s="11" t="n">
        <f aca="false">24-23</f>
        <v>1</v>
      </c>
      <c r="J39" s="11"/>
    </row>
    <row r="40" customFormat="false" ht="13.5" hidden="false" customHeight="false" outlineLevel="0" collapsed="false">
      <c r="I40" s="11" t="n">
        <f aca="false">20-20</f>
        <v>0</v>
      </c>
      <c r="J40" s="11"/>
    </row>
    <row r="41" customFormat="false" ht="13.5" hidden="false" customHeight="false" outlineLevel="0" collapsed="false">
      <c r="I41" s="11" t="n">
        <f aca="false">4-2</f>
        <v>2</v>
      </c>
      <c r="J41" s="11"/>
    </row>
    <row r="42" customFormat="false" ht="13.5" hidden="false" customHeight="false" outlineLevel="0" collapsed="false">
      <c r="I42" s="11" t="n">
        <f aca="false">31-18</f>
        <v>13</v>
      </c>
      <c r="J42" s="11"/>
    </row>
    <row r="43" customFormat="false" ht="13.5" hidden="false" customHeight="false" outlineLevel="0" collapsed="false">
      <c r="I43" s="11" t="n">
        <f aca="false">4-2</f>
        <v>2</v>
      </c>
      <c r="J43" s="11"/>
    </row>
    <row r="44" customFormat="false" ht="13.5" hidden="false" customHeight="false" outlineLevel="0" collapsed="false">
      <c r="I44" s="11" t="n">
        <f aca="false">32-24</f>
        <v>8</v>
      </c>
      <c r="J44" s="11"/>
    </row>
    <row r="45" customFormat="false" ht="13.5" hidden="false" customHeight="false" outlineLevel="0" collapsed="false">
      <c r="I45" s="11" t="n">
        <f aca="false">33-24</f>
        <v>9</v>
      </c>
      <c r="J45" s="11"/>
    </row>
    <row r="46" customFormat="false" ht="13.5" hidden="false" customHeight="false" outlineLevel="0" collapsed="false">
      <c r="I46" s="11" t="n">
        <f aca="false">3-1</f>
        <v>2</v>
      </c>
      <c r="J46" s="11"/>
    </row>
    <row r="47" customFormat="false" ht="13.5" hidden="false" customHeight="false" outlineLevel="0" collapsed="false">
      <c r="I47" s="11" t="n">
        <f aca="false">19-9</f>
        <v>10</v>
      </c>
      <c r="J47" s="11"/>
    </row>
    <row r="48" customFormat="false" ht="13.5" hidden="false" customHeight="false" outlineLevel="0" collapsed="false">
      <c r="I48" s="11" t="n">
        <f aca="false">32-27</f>
        <v>5</v>
      </c>
      <c r="J48" s="11"/>
    </row>
    <row r="49" customFormat="false" ht="13.5" hidden="false" customHeight="false" outlineLevel="0" collapsed="false">
      <c r="I49" s="11" t="n">
        <f aca="false">32-24</f>
        <v>8</v>
      </c>
      <c r="J49" s="11"/>
    </row>
    <row r="50" customFormat="false" ht="13.5" hidden="false" customHeight="false" outlineLevel="0" collapsed="false">
      <c r="I50" s="12" t="n">
        <f aca="false">32-24</f>
        <v>8</v>
      </c>
      <c r="J50" s="11"/>
    </row>
    <row r="51" customFormat="false" ht="13.5" hidden="false" customHeight="false" outlineLevel="0" collapsed="false">
      <c r="I51" s="11" t="n">
        <f aca="false">33-10</f>
        <v>23</v>
      </c>
      <c r="J51" s="11"/>
    </row>
    <row r="52" customFormat="false" ht="13.5" hidden="false" customHeight="false" outlineLevel="0" collapsed="false">
      <c r="I52" s="11" t="n">
        <f aca="false">31-21</f>
        <v>10</v>
      </c>
      <c r="J52" s="11"/>
    </row>
    <row r="53" customFormat="false" ht="13.5" hidden="false" customHeight="false" outlineLevel="0" collapsed="false">
      <c r="I53" s="11" t="n">
        <f aca="false">9-1</f>
        <v>8</v>
      </c>
      <c r="J53" s="11"/>
    </row>
    <row r="54" customFormat="false" ht="13.5" hidden="false" customHeight="false" outlineLevel="0" collapsed="false">
      <c r="I54" s="11" t="n">
        <f aca="false">(31+9)-30</f>
        <v>10</v>
      </c>
      <c r="J54" s="11"/>
    </row>
    <row r="55" customFormat="false" ht="13.5" hidden="false" customHeight="false" outlineLevel="0" collapsed="false">
      <c r="I55" s="11" t="n">
        <f aca="false">7-1</f>
        <v>6</v>
      </c>
      <c r="J55" s="11"/>
    </row>
    <row r="56" customFormat="false" ht="13.5" hidden="false" customHeight="false" outlineLevel="0" collapsed="false">
      <c r="I56" s="11" t="n">
        <f aca="false">(31+10)-31</f>
        <v>10</v>
      </c>
      <c r="J56" s="11"/>
    </row>
    <row r="57" customFormat="false" ht="13.5" hidden="false" customHeight="false" outlineLevel="0" collapsed="false">
      <c r="I57" s="11" t="n">
        <f aca="false">(31+6)-30</f>
        <v>7</v>
      </c>
      <c r="J57" s="11"/>
    </row>
    <row r="58" customFormat="false" ht="13.5" hidden="false" customHeight="false" outlineLevel="0" collapsed="false">
      <c r="I58" s="11" t="n">
        <f aca="false">15-14</f>
        <v>1</v>
      </c>
      <c r="J58" s="11"/>
    </row>
    <row r="59" customFormat="false" ht="13.5" hidden="false" customHeight="false" outlineLevel="0" collapsed="false">
      <c r="I59" s="11" t="n">
        <f aca="false">(31+3)-26</f>
        <v>8</v>
      </c>
      <c r="J59" s="11"/>
    </row>
    <row r="60" customFormat="false" ht="13.5" hidden="false" customHeight="false" outlineLevel="0" collapsed="false">
      <c r="I60" s="11"/>
      <c r="J60" s="11"/>
    </row>
    <row r="61" customFormat="false" ht="13.5" hidden="false" customHeight="false" outlineLevel="0" collapsed="false">
      <c r="I61" s="1" t="n">
        <f aca="false">AVERAGE(I32:I59)</f>
        <v>6.85714285714286</v>
      </c>
      <c r="J61" s="11"/>
    </row>
    <row r="62" customFormat="false" ht="13.5" hidden="false" customHeight="false" outlineLevel="0" collapsed="false">
      <c r="I62" s="1" t="n">
        <f aca="false">MEDIAN(I32:I59)</f>
        <v>7.5</v>
      </c>
      <c r="J62" s="11"/>
    </row>
    <row r="63" customFormat="false" ht="13.5" hidden="false" customHeight="false" outlineLevel="0" collapsed="false">
      <c r="I63" s="1" t="n">
        <f aca="false">MIN(I32:I59)</f>
        <v>0</v>
      </c>
      <c r="J63" s="11"/>
    </row>
    <row r="64" customFormat="false" ht="13.5" hidden="false" customHeight="false" outlineLevel="0" collapsed="false">
      <c r="I64" s="1" t="n">
        <f aca="false">MAX(I32:I59)</f>
        <v>23</v>
      </c>
      <c r="J64" s="11"/>
    </row>
    <row r="65" customFormat="false" ht="13.5" hidden="false" customHeight="false" outlineLevel="0" collapsed="false">
      <c r="I65" s="11"/>
      <c r="J65" s="11"/>
    </row>
    <row r="66" customFormat="false" ht="13.5" hidden="false" customHeight="false" outlineLevel="0" collapsed="false">
      <c r="I66" s="11"/>
      <c r="J66" s="11"/>
    </row>
    <row r="67" customFormat="false" ht="13.5" hidden="false" customHeight="false" outlineLevel="0" collapsed="false">
      <c r="I67" s="11"/>
      <c r="J67" s="11"/>
    </row>
    <row r="68" customFormat="false" ht="13.5" hidden="false" customHeight="false" outlineLevel="0" collapsed="false">
      <c r="I68" s="11"/>
      <c r="J68" s="11"/>
    </row>
    <row r="69" customFormat="false" ht="13.5" hidden="false" customHeight="false" outlineLevel="0" collapsed="false">
      <c r="I69" s="11"/>
      <c r="J69" s="11"/>
    </row>
    <row r="70" customFormat="false" ht="13.5" hidden="false" customHeight="false" outlineLevel="0" collapsed="false">
      <c r="I70" s="11"/>
      <c r="J70" s="11"/>
    </row>
    <row r="71" customFormat="false" ht="13.5" hidden="false" customHeight="false" outlineLevel="0" collapsed="false">
      <c r="I71" s="11"/>
      <c r="J71" s="11"/>
    </row>
    <row r="72" customFormat="false" ht="13.5" hidden="false" customHeight="false" outlineLevel="0" collapsed="false">
      <c r="I72" s="11"/>
      <c r="J72" s="11"/>
    </row>
    <row r="73" customFormat="false" ht="13.5" hidden="false" customHeight="false" outlineLevel="0" collapsed="false">
      <c r="I73" s="11"/>
      <c r="J73" s="11"/>
    </row>
    <row r="74" customFormat="false" ht="13.5" hidden="false" customHeight="false" outlineLevel="0" collapsed="false">
      <c r="I74" s="11"/>
      <c r="J74" s="11"/>
    </row>
    <row r="75" customFormat="false" ht="13.5" hidden="false" customHeight="false" outlineLevel="0" collapsed="false">
      <c r="I75" s="11"/>
      <c r="J75" s="11"/>
    </row>
    <row r="76" customFormat="false" ht="13.5" hidden="false" customHeight="false" outlineLevel="0" collapsed="false">
      <c r="I76" s="11"/>
      <c r="J76" s="11"/>
    </row>
    <row r="77" customFormat="false" ht="13.5" hidden="false" customHeight="false" outlineLevel="0" collapsed="false">
      <c r="I77" s="11"/>
      <c r="J77" s="11"/>
    </row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F21" activeCellId="2" sqref="X:AE S:V F21"/>
    </sheetView>
  </sheetViews>
  <sheetFormatPr defaultColWidth="8.8359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2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1" ySplit="0" topLeftCell="S1" activePane="topRight" state="frozen"/>
      <selection pane="topLeft" activeCell="A1" activeCellId="0" sqref="A1"/>
      <selection pane="topRight" activeCell="S1" activeCellId="1" sqref="X:AE S:V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2.66"/>
    <col collapsed="false" customWidth="true" hidden="false" outlineLevel="0" max="3" min="3" style="1" width="15.83"/>
    <col collapsed="false" customWidth="true" hidden="false" outlineLevel="0" max="4" min="4" style="1" width="11.83"/>
    <col collapsed="false" customWidth="true" hidden="false" outlineLevel="0" max="5" min="5" style="1" width="9.83"/>
    <col collapsed="false" customWidth="true" hidden="false" outlineLevel="0" max="6" min="6" style="1" width="15.83"/>
    <col collapsed="false" customWidth="true" hidden="false" outlineLevel="0" max="7" min="7" style="1" width="14.66"/>
    <col collapsed="false" customWidth="true" hidden="false" outlineLevel="0" max="8" min="8" style="1" width="15.83"/>
    <col collapsed="false" customWidth="true" hidden="false" outlineLevel="0" max="9" min="9" style="2" width="11.66"/>
    <col collapsed="false" customWidth="true" hidden="false" outlineLevel="0" max="10" min="10" style="2" width="15.83"/>
    <col collapsed="false" customWidth="true" hidden="false" outlineLevel="0" max="11" min="11" style="2" width="14"/>
    <col collapsed="false" customWidth="true" hidden="false" outlineLevel="0" max="13" min="12" style="2" width="9.83"/>
    <col collapsed="false" customWidth="true" hidden="false" outlineLevel="0" max="14" min="14" style="2" width="11.66"/>
    <col collapsed="false" customWidth="false" hidden="false" outlineLevel="0" max="16" min="15" style="1" width="9"/>
    <col collapsed="false" customWidth="true" hidden="false" outlineLevel="0" max="17" min="17" style="1" width="11.33"/>
    <col collapsed="false" customWidth="false" hidden="false" outlineLevel="0" max="18" min="18" style="3" width="9"/>
    <col collapsed="false" customWidth="true" hidden="false" outlineLevel="0" max="19" min="19" style="3" width="12"/>
    <col collapsed="false" customWidth="true" hidden="false" outlineLevel="0" max="20" min="20" style="3" width="10.17"/>
    <col collapsed="false" customWidth="false" hidden="false" outlineLevel="0" max="21" min="21" style="1" width="9"/>
    <col collapsed="false" customWidth="true" hidden="false" outlineLevel="0" max="22" min="22" style="2" width="9.51"/>
    <col collapsed="false" customWidth="false" hidden="false" outlineLevel="0" max="23" min="23" style="4" width="9"/>
    <col collapsed="false" customWidth="false" hidden="false" outlineLevel="0" max="26" min="24" style="1" width="9"/>
    <col collapsed="false" customWidth="false" hidden="false" outlineLevel="0" max="28" min="27" style="4" width="9"/>
    <col collapsed="false" customWidth="true" hidden="false" outlineLevel="0" max="29" min="29" style="1" width="10.66"/>
    <col collapsed="false" customWidth="false" hidden="false" outlineLevel="0" max="1024" min="30" style="1" width="9"/>
  </cols>
  <sheetData>
    <row r="1" s="5" customFormat="true" ht="6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7" t="s">
        <v>20</v>
      </c>
      <c r="V1" s="5" t="s">
        <v>21</v>
      </c>
      <c r="W1" s="6" t="s">
        <v>17</v>
      </c>
      <c r="X1" s="8" t="s">
        <v>22</v>
      </c>
      <c r="Y1" s="5" t="s">
        <v>23</v>
      </c>
      <c r="Z1" s="5" t="s">
        <v>24</v>
      </c>
      <c r="AA1" s="5" t="s">
        <v>25</v>
      </c>
      <c r="AB1" s="8" t="s">
        <v>26</v>
      </c>
      <c r="AC1" s="8" t="s">
        <v>27</v>
      </c>
      <c r="AD1" s="5" t="s">
        <v>28</v>
      </c>
      <c r="AE1" s="5" t="s">
        <v>29</v>
      </c>
    </row>
    <row r="2" customFormat="false" ht="13.5" hidden="false" customHeight="false" outlineLevel="0" collapsed="false">
      <c r="A2" s="1" t="s">
        <v>255</v>
      </c>
      <c r="B2" s="1" t="s">
        <v>31</v>
      </c>
      <c r="C2" s="1" t="s">
        <v>256</v>
      </c>
      <c r="D2" s="1" t="s">
        <v>257</v>
      </c>
      <c r="E2" s="1" t="n">
        <v>2</v>
      </c>
      <c r="F2" s="1" t="s">
        <v>187</v>
      </c>
      <c r="G2" s="1" t="s">
        <v>31</v>
      </c>
      <c r="H2" s="1" t="s">
        <v>258</v>
      </c>
      <c r="I2" s="2" t="n">
        <v>43854</v>
      </c>
      <c r="J2" s="2" t="n">
        <v>43855</v>
      </c>
      <c r="K2" s="1" t="s">
        <v>33</v>
      </c>
      <c r="L2" s="2" t="n">
        <v>43856</v>
      </c>
      <c r="M2" s="2" t="n">
        <v>43866</v>
      </c>
      <c r="N2" s="2" t="n">
        <v>43875</v>
      </c>
      <c r="O2" s="1" t="n">
        <v>1</v>
      </c>
      <c r="P2" s="1" t="n">
        <v>38</v>
      </c>
      <c r="Q2" s="1" t="n">
        <v>28.01022373</v>
      </c>
      <c r="R2" s="2" t="n">
        <v>43856</v>
      </c>
      <c r="S2" s="3" t="n">
        <v>11.7</v>
      </c>
      <c r="T2" s="3" t="n">
        <v>2.6793</v>
      </c>
      <c r="U2" s="3" t="n">
        <v>1.2402</v>
      </c>
      <c r="V2" s="1" t="n">
        <v>181</v>
      </c>
      <c r="W2" s="2" t="n">
        <v>43856</v>
      </c>
      <c r="X2" s="4" t="n">
        <v>17.9</v>
      </c>
      <c r="Y2" s="1" t="n">
        <v>52</v>
      </c>
      <c r="Z2" s="1" t="n">
        <v>37</v>
      </c>
      <c r="AA2" s="1" t="n">
        <v>55</v>
      </c>
      <c r="AB2" s="4" t="n">
        <v>8.2</v>
      </c>
      <c r="AC2" s="4" t="n">
        <v>2.5</v>
      </c>
      <c r="AD2" s="1" t="n">
        <v>80</v>
      </c>
      <c r="AE2" s="1" t="n">
        <v>6.18</v>
      </c>
    </row>
    <row r="3" customFormat="false" ht="13.5" hidden="false" customHeight="false" outlineLevel="0" collapsed="false">
      <c r="A3" s="1" t="s">
        <v>259</v>
      </c>
      <c r="B3" s="1" t="s">
        <v>31</v>
      </c>
      <c r="C3" s="1" t="s">
        <v>260</v>
      </c>
      <c r="D3" s="1" t="s">
        <v>33</v>
      </c>
      <c r="E3" s="1" t="n">
        <v>2</v>
      </c>
      <c r="F3" s="1" t="s">
        <v>187</v>
      </c>
      <c r="G3" s="1" t="s">
        <v>31</v>
      </c>
      <c r="H3" s="1" t="s">
        <v>261</v>
      </c>
      <c r="I3" s="2" t="n">
        <v>43861</v>
      </c>
      <c r="J3" s="2" t="n">
        <v>43863</v>
      </c>
      <c r="K3" s="1" t="s">
        <v>33</v>
      </c>
      <c r="L3" s="2" t="n">
        <v>43864</v>
      </c>
      <c r="M3" s="2" t="n">
        <v>43873</v>
      </c>
      <c r="N3" s="2" t="n">
        <v>43873</v>
      </c>
      <c r="O3" s="1" t="n">
        <v>1</v>
      </c>
      <c r="P3" s="1" t="n">
        <v>36</v>
      </c>
      <c r="Q3" s="1" t="n">
        <v>24.91349481</v>
      </c>
      <c r="R3" s="2" t="n">
        <v>43863</v>
      </c>
      <c r="S3" s="3" t="n">
        <v>4.93</v>
      </c>
      <c r="T3" s="3" t="n">
        <v>1.64169</v>
      </c>
      <c r="U3" s="3" t="n">
        <v>0.49793</v>
      </c>
      <c r="V3" s="1" t="n">
        <v>194</v>
      </c>
      <c r="W3" s="2" t="n">
        <v>43863</v>
      </c>
      <c r="X3" s="4" t="n">
        <v>1.9</v>
      </c>
      <c r="Y3" s="1" t="n">
        <v>48.2</v>
      </c>
      <c r="Z3" s="1" t="n">
        <v>34</v>
      </c>
      <c r="AA3" s="1" t="n">
        <v>59</v>
      </c>
      <c r="AB3" s="4" t="n">
        <v>14.1</v>
      </c>
      <c r="AC3" s="4" t="n">
        <v>4.8</v>
      </c>
      <c r="AD3" s="1" t="n">
        <v>94</v>
      </c>
      <c r="AE3" s="1" t="n">
        <v>5.25</v>
      </c>
    </row>
    <row r="4" customFormat="false" ht="13.5" hidden="false" customHeight="false" outlineLevel="0" collapsed="false">
      <c r="A4" s="1" t="s">
        <v>262</v>
      </c>
      <c r="B4" s="1" t="s">
        <v>31</v>
      </c>
      <c r="C4" s="1" t="s">
        <v>263</v>
      </c>
      <c r="D4" s="1" t="s">
        <v>33</v>
      </c>
      <c r="E4" s="1" t="n">
        <v>2</v>
      </c>
      <c r="F4" s="1" t="s">
        <v>187</v>
      </c>
      <c r="G4" s="1" t="s">
        <v>31</v>
      </c>
      <c r="H4" s="1" t="s">
        <v>264</v>
      </c>
      <c r="I4" s="2" t="n">
        <v>43863</v>
      </c>
      <c r="J4" s="2" t="n">
        <v>43865</v>
      </c>
      <c r="K4" s="1" t="s">
        <v>33</v>
      </c>
      <c r="L4" s="2" t="n">
        <v>43866</v>
      </c>
      <c r="M4" s="2" t="n">
        <v>43866</v>
      </c>
      <c r="N4" s="2" t="n">
        <v>43893</v>
      </c>
      <c r="O4" s="1" t="n">
        <v>1</v>
      </c>
      <c r="P4" s="1" t="n">
        <v>70</v>
      </c>
      <c r="Q4" s="1" t="n">
        <v>25.88057064</v>
      </c>
      <c r="R4" s="2" t="n">
        <v>43865</v>
      </c>
      <c r="S4" s="3" t="n">
        <v>3.43</v>
      </c>
      <c r="T4" s="3" t="n">
        <v>0.721672</v>
      </c>
      <c r="U4" s="3" t="n">
        <v>0.310072</v>
      </c>
      <c r="V4" s="1" t="n">
        <v>205</v>
      </c>
      <c r="W4" s="2" t="n">
        <v>43865</v>
      </c>
      <c r="X4" s="4" t="n">
        <v>89.9</v>
      </c>
      <c r="Y4" s="1" t="n">
        <v>22</v>
      </c>
      <c r="Z4" s="1" t="n">
        <v>30</v>
      </c>
      <c r="AA4" s="1" t="n">
        <v>30</v>
      </c>
      <c r="AB4" s="4" t="n">
        <v>12.3</v>
      </c>
      <c r="AC4" s="4" t="n">
        <v>3.9</v>
      </c>
      <c r="AD4" s="1" t="n">
        <v>93</v>
      </c>
      <c r="AE4" s="1" t="n">
        <v>9.21</v>
      </c>
    </row>
    <row r="5" customFormat="false" ht="13.5" hidden="false" customHeight="false" outlineLevel="0" collapsed="false">
      <c r="A5" s="1" t="s">
        <v>265</v>
      </c>
      <c r="B5" s="1" t="s">
        <v>31</v>
      </c>
      <c r="C5" s="1" t="s">
        <v>266</v>
      </c>
      <c r="D5" s="1" t="s">
        <v>33</v>
      </c>
      <c r="E5" s="1" t="n">
        <v>2</v>
      </c>
      <c r="F5" s="1" t="s">
        <v>187</v>
      </c>
      <c r="G5" s="1" t="s">
        <v>31</v>
      </c>
      <c r="H5" s="1" t="s">
        <v>267</v>
      </c>
      <c r="I5" s="2" t="n">
        <v>43856</v>
      </c>
      <c r="J5" s="2" t="n">
        <v>43862</v>
      </c>
      <c r="K5" s="1" t="s">
        <v>33</v>
      </c>
      <c r="L5" s="2" t="n">
        <v>43863</v>
      </c>
      <c r="M5" s="2" t="n">
        <v>43863</v>
      </c>
      <c r="N5" s="2" t="n">
        <v>43871</v>
      </c>
      <c r="O5" s="1" t="n">
        <v>1</v>
      </c>
      <c r="P5" s="1" t="n">
        <v>33</v>
      </c>
      <c r="Q5" s="1" t="n">
        <v>27.04164413</v>
      </c>
      <c r="R5" s="2" t="n">
        <v>43862</v>
      </c>
      <c r="S5" s="3" t="n">
        <v>3.76</v>
      </c>
      <c r="T5" s="3" t="n">
        <v>1.45888</v>
      </c>
      <c r="U5" s="3" t="n">
        <v>0.22184</v>
      </c>
      <c r="V5" s="1" t="n">
        <v>144</v>
      </c>
      <c r="W5" s="2" t="n">
        <v>43862</v>
      </c>
      <c r="X5" s="4" t="n">
        <v>0.5</v>
      </c>
      <c r="Y5" s="1" t="n">
        <v>27.1</v>
      </c>
      <c r="Z5" s="1" t="n">
        <v>23</v>
      </c>
      <c r="AA5" s="1" t="n">
        <v>23</v>
      </c>
      <c r="AB5" s="4" t="n">
        <v>18.9</v>
      </c>
      <c r="AC5" s="4" t="n">
        <v>6.3</v>
      </c>
      <c r="AD5" s="1" t="n">
        <v>88</v>
      </c>
      <c r="AE5" s="1" t="n">
        <v>5.88</v>
      </c>
    </row>
    <row r="6" customFormat="false" ht="13.5" hidden="false" customHeight="false" outlineLevel="0" collapsed="false">
      <c r="A6" s="1" t="s">
        <v>268</v>
      </c>
      <c r="B6" s="1" t="s">
        <v>31</v>
      </c>
      <c r="C6" s="1" t="s">
        <v>269</v>
      </c>
      <c r="D6" s="1" t="s">
        <v>33</v>
      </c>
      <c r="E6" s="1" t="n">
        <v>2</v>
      </c>
      <c r="F6" s="1" t="s">
        <v>187</v>
      </c>
      <c r="G6" s="1" t="s">
        <v>31</v>
      </c>
      <c r="H6" s="1" t="s">
        <v>270</v>
      </c>
      <c r="I6" s="2" t="n">
        <v>43854</v>
      </c>
      <c r="J6" s="2" t="n">
        <v>43855</v>
      </c>
      <c r="K6" s="1" t="s">
        <v>33</v>
      </c>
      <c r="L6" s="2" t="n">
        <v>43855</v>
      </c>
      <c r="M6" s="2" t="n">
        <v>43855</v>
      </c>
      <c r="N6" s="2" t="n">
        <v>43872</v>
      </c>
      <c r="O6" s="1" t="n">
        <v>1</v>
      </c>
      <c r="P6" s="1" t="n">
        <v>33</v>
      </c>
      <c r="Q6" s="1" t="n">
        <v>25.92592593</v>
      </c>
      <c r="R6" s="2" t="n">
        <v>43855</v>
      </c>
      <c r="S6" s="3" t="n">
        <v>3.17</v>
      </c>
      <c r="T6" s="3" t="n">
        <v>1.1</v>
      </c>
      <c r="U6" s="3" t="n">
        <v>0.4</v>
      </c>
      <c r="V6" s="1" t="n">
        <v>144</v>
      </c>
      <c r="W6" s="2" t="n">
        <v>43856</v>
      </c>
      <c r="X6" s="4" t="n">
        <v>12.46</v>
      </c>
      <c r="Y6" s="1" t="n">
        <v>30</v>
      </c>
      <c r="Z6" s="1" t="n">
        <v>30</v>
      </c>
      <c r="AA6" s="1" t="n">
        <v>29</v>
      </c>
      <c r="AB6" s="4" t="n">
        <v>13.1</v>
      </c>
      <c r="AC6" s="4" t="n">
        <v>5.5</v>
      </c>
      <c r="AD6" s="1" t="n">
        <v>110</v>
      </c>
      <c r="AE6" s="1" t="n">
        <v>5.12</v>
      </c>
    </row>
    <row r="7" customFormat="false" ht="13.5" hidden="false" customHeight="false" outlineLevel="0" collapsed="false">
      <c r="A7" s="1" t="s">
        <v>271</v>
      </c>
      <c r="B7" s="1" t="s">
        <v>31</v>
      </c>
      <c r="C7" s="1" t="s">
        <v>272</v>
      </c>
      <c r="D7" s="1" t="s">
        <v>33</v>
      </c>
      <c r="E7" s="1" t="n">
        <v>2</v>
      </c>
      <c r="F7" s="1" t="s">
        <v>187</v>
      </c>
      <c r="G7" s="1" t="s">
        <v>31</v>
      </c>
      <c r="H7" s="1" t="s">
        <v>273</v>
      </c>
      <c r="I7" s="2" t="n">
        <v>43851</v>
      </c>
      <c r="J7" s="2" t="n">
        <v>43853</v>
      </c>
      <c r="K7" s="1" t="s">
        <v>33</v>
      </c>
      <c r="L7" s="2" t="n">
        <v>43853</v>
      </c>
      <c r="M7" s="2" t="n">
        <v>43858</v>
      </c>
      <c r="N7" s="2" t="n">
        <v>43875</v>
      </c>
      <c r="O7" s="1" t="n">
        <v>0</v>
      </c>
      <c r="P7" s="1" t="n">
        <v>45</v>
      </c>
      <c r="Q7" s="1" t="n">
        <v>23.23345618</v>
      </c>
      <c r="R7" s="2" t="n">
        <v>43853</v>
      </c>
      <c r="S7" s="3" t="n">
        <v>5.09</v>
      </c>
      <c r="T7" s="3" t="n">
        <v>1.4</v>
      </c>
      <c r="U7" s="3" t="n">
        <v>0.6</v>
      </c>
      <c r="V7" s="1" t="n">
        <v>221</v>
      </c>
      <c r="W7" s="2" t="n">
        <v>43854</v>
      </c>
      <c r="X7" s="4" t="n">
        <v>4</v>
      </c>
      <c r="Y7" s="1" t="n">
        <v>10</v>
      </c>
      <c r="Z7" s="1" t="n">
        <v>19</v>
      </c>
      <c r="AA7" s="1" t="n">
        <v>13</v>
      </c>
      <c r="AB7" s="4" t="n">
        <v>6</v>
      </c>
      <c r="AC7" s="4" t="n">
        <v>2.5</v>
      </c>
      <c r="AD7" s="1" t="n">
        <v>61</v>
      </c>
      <c r="AE7" s="1" t="n">
        <v>4.61</v>
      </c>
    </row>
    <row r="8" customFormat="false" ht="13.5" hidden="false" customHeight="false" outlineLevel="0" collapsed="false">
      <c r="A8" s="1" t="s">
        <v>274</v>
      </c>
      <c r="B8" s="1" t="s">
        <v>31</v>
      </c>
      <c r="C8" s="1" t="s">
        <v>275</v>
      </c>
      <c r="D8" s="1" t="s">
        <v>276</v>
      </c>
      <c r="E8" s="1" t="n">
        <v>2</v>
      </c>
      <c r="F8" s="1" t="s">
        <v>187</v>
      </c>
      <c r="G8" s="1" t="s">
        <v>31</v>
      </c>
      <c r="H8" s="1" t="s">
        <v>277</v>
      </c>
      <c r="I8" s="2" t="n">
        <v>43856</v>
      </c>
      <c r="J8" s="2" t="n">
        <v>43860</v>
      </c>
      <c r="K8" s="1" t="s">
        <v>33</v>
      </c>
      <c r="L8" s="2" t="n">
        <v>43861</v>
      </c>
      <c r="M8" s="2" t="n">
        <v>43868</v>
      </c>
      <c r="N8" s="2" t="n">
        <v>43876</v>
      </c>
      <c r="O8" s="1" t="n">
        <v>0</v>
      </c>
      <c r="P8" s="1" t="n">
        <v>46</v>
      </c>
      <c r="Q8" s="1" t="n">
        <v>25.68211703</v>
      </c>
      <c r="R8" s="2" t="n">
        <v>43860</v>
      </c>
      <c r="S8" s="3" t="n">
        <v>5.24</v>
      </c>
      <c r="T8" s="3" t="n">
        <v>2.171456</v>
      </c>
      <c r="U8" s="3" t="n">
        <v>0.353176</v>
      </c>
      <c r="V8" s="1" t="n">
        <v>205</v>
      </c>
      <c r="W8" s="2" t="n">
        <v>43860</v>
      </c>
      <c r="X8" s="4" t="n">
        <v>5.2</v>
      </c>
      <c r="Y8" s="1" t="n">
        <v>16</v>
      </c>
      <c r="Z8" s="1" t="n">
        <v>19</v>
      </c>
      <c r="AA8" s="1" t="n">
        <v>21</v>
      </c>
      <c r="AB8" s="4" t="n">
        <v>5.9</v>
      </c>
      <c r="AC8" s="4" t="n">
        <v>2.1</v>
      </c>
      <c r="AD8" s="1" t="n">
        <v>55</v>
      </c>
      <c r="AE8" s="1" t="n">
        <v>7.21</v>
      </c>
    </row>
    <row r="9" customFormat="false" ht="13.5" hidden="false" customHeight="false" outlineLevel="0" collapsed="false">
      <c r="A9" s="1" t="s">
        <v>278</v>
      </c>
      <c r="B9" s="1" t="s">
        <v>31</v>
      </c>
      <c r="C9" s="1" t="s">
        <v>279</v>
      </c>
      <c r="D9" s="1" t="s">
        <v>33</v>
      </c>
      <c r="E9" s="1" t="n">
        <v>2</v>
      </c>
      <c r="F9" s="1" t="s">
        <v>187</v>
      </c>
      <c r="G9" s="1" t="s">
        <v>31</v>
      </c>
      <c r="H9" s="1" t="s">
        <v>280</v>
      </c>
      <c r="I9" s="2" t="n">
        <v>43854</v>
      </c>
      <c r="J9" s="2" t="n">
        <v>43859</v>
      </c>
      <c r="K9" s="1" t="s">
        <v>33</v>
      </c>
      <c r="L9" s="2" t="n">
        <v>43860</v>
      </c>
      <c r="M9" s="2" t="n">
        <v>43868</v>
      </c>
      <c r="N9" s="2" t="n">
        <v>43869</v>
      </c>
      <c r="O9" s="1" t="n">
        <v>1</v>
      </c>
      <c r="P9" s="1" t="n">
        <v>21</v>
      </c>
      <c r="Q9" s="1" t="n">
        <v>30.44982699</v>
      </c>
      <c r="R9" s="2" t="n">
        <v>43859</v>
      </c>
      <c r="S9" s="3" t="n">
        <v>7.14</v>
      </c>
      <c r="T9" s="3" t="n">
        <v>1.179528</v>
      </c>
      <c r="U9" s="3" t="n">
        <v>0.39984</v>
      </c>
      <c r="V9" s="1" t="n">
        <v>211</v>
      </c>
      <c r="W9" s="2" t="n">
        <v>43859</v>
      </c>
      <c r="X9" s="4" t="n">
        <v>7.37</v>
      </c>
      <c r="Y9" s="1" t="n">
        <v>37.3</v>
      </c>
      <c r="Z9" s="1" t="n">
        <v>21</v>
      </c>
      <c r="AA9" s="1" t="n">
        <v>48</v>
      </c>
      <c r="AB9" s="4" t="n">
        <v>14.7</v>
      </c>
      <c r="AC9" s="4" t="n">
        <v>5.7</v>
      </c>
      <c r="AD9" s="1" t="n">
        <v>88</v>
      </c>
      <c r="AE9" s="1" t="n">
        <v>8.12</v>
      </c>
    </row>
    <row r="10" customFormat="false" ht="13.5" hidden="false" customHeight="false" outlineLevel="0" collapsed="false">
      <c r="A10" s="1" t="s">
        <v>281</v>
      </c>
      <c r="B10" s="1" t="s">
        <v>31</v>
      </c>
      <c r="C10" s="1" t="s">
        <v>282</v>
      </c>
      <c r="D10" s="1" t="s">
        <v>33</v>
      </c>
      <c r="E10" s="1" t="n">
        <v>2</v>
      </c>
      <c r="F10" s="1" t="s">
        <v>187</v>
      </c>
      <c r="G10" s="1" t="s">
        <v>31</v>
      </c>
      <c r="H10" s="1" t="s">
        <v>283</v>
      </c>
      <c r="I10" s="2" t="n">
        <v>43861</v>
      </c>
      <c r="J10" s="2" t="n">
        <v>43864</v>
      </c>
      <c r="K10" s="1" t="s">
        <v>33</v>
      </c>
      <c r="L10" s="2" t="n">
        <v>43866</v>
      </c>
      <c r="M10" s="2" t="n">
        <v>43867</v>
      </c>
      <c r="N10" s="2" t="n">
        <v>43893</v>
      </c>
      <c r="O10" s="1" t="n">
        <v>1</v>
      </c>
      <c r="P10" s="1" t="n">
        <v>63</v>
      </c>
      <c r="Q10" s="1" t="n">
        <v>19.15708812</v>
      </c>
      <c r="R10" s="2" t="n">
        <v>43864</v>
      </c>
      <c r="S10" s="3" t="n">
        <v>3.86</v>
      </c>
      <c r="T10" s="3" t="n">
        <v>0.86078</v>
      </c>
      <c r="U10" s="3" t="n">
        <v>0.780106</v>
      </c>
      <c r="V10" s="1" t="n">
        <v>145</v>
      </c>
      <c r="W10" s="2" t="n">
        <v>43864</v>
      </c>
      <c r="X10" s="4" t="n">
        <v>4.8</v>
      </c>
      <c r="Y10" s="1" t="n">
        <v>20</v>
      </c>
      <c r="Z10" s="1" t="n">
        <v>28</v>
      </c>
      <c r="AA10" s="1" t="n">
        <v>16</v>
      </c>
      <c r="AB10" s="4" t="n">
        <v>15.3</v>
      </c>
      <c r="AC10" s="4" t="n">
        <v>6.4</v>
      </c>
      <c r="AD10" s="1" t="n">
        <v>84</v>
      </c>
      <c r="AE10" s="1" t="n">
        <v>5.26</v>
      </c>
    </row>
    <row r="11" customFormat="false" ht="13.5" hidden="false" customHeight="false" outlineLevel="0" collapsed="false">
      <c r="A11" s="1" t="s">
        <v>284</v>
      </c>
      <c r="B11" s="1" t="s">
        <v>31</v>
      </c>
      <c r="C11" s="1" t="s">
        <v>285</v>
      </c>
      <c r="D11" s="1" t="s">
        <v>33</v>
      </c>
      <c r="E11" s="1" t="n">
        <v>2</v>
      </c>
      <c r="F11" s="1" t="s">
        <v>187</v>
      </c>
      <c r="G11" s="1" t="s">
        <v>31</v>
      </c>
      <c r="H11" s="1" t="s">
        <v>286</v>
      </c>
      <c r="I11" s="2" t="n">
        <v>43858</v>
      </c>
      <c r="J11" s="2" t="n">
        <v>43861</v>
      </c>
      <c r="K11" s="1" t="s">
        <v>33</v>
      </c>
      <c r="L11" s="2" t="n">
        <v>43862</v>
      </c>
      <c r="M11" s="2" t="n">
        <v>43862</v>
      </c>
      <c r="N11" s="2" t="n">
        <v>43868</v>
      </c>
      <c r="O11" s="1" t="n">
        <v>1</v>
      </c>
      <c r="P11" s="1" t="n">
        <v>27</v>
      </c>
      <c r="Q11" s="1" t="n">
        <v>22.49134948</v>
      </c>
      <c r="R11" s="2" t="n">
        <v>43861</v>
      </c>
      <c r="S11" s="3" t="n">
        <v>6.56</v>
      </c>
      <c r="T11" s="3" t="n">
        <v>1.33824</v>
      </c>
      <c r="U11" s="3" t="n">
        <v>0.43296</v>
      </c>
      <c r="V11" s="1" t="n">
        <v>199</v>
      </c>
      <c r="W11" s="2" t="n">
        <v>43861</v>
      </c>
      <c r="X11" s="4" t="n">
        <v>41.4</v>
      </c>
      <c r="Y11" s="1" t="n">
        <v>16.2</v>
      </c>
      <c r="Z11" s="1" t="n">
        <v>18</v>
      </c>
      <c r="AA11" s="1" t="n">
        <v>20</v>
      </c>
      <c r="AB11" s="4" t="n">
        <v>23</v>
      </c>
      <c r="AC11" s="4" t="n">
        <v>8.5</v>
      </c>
      <c r="AD11" s="1" t="n">
        <v>77</v>
      </c>
      <c r="AE11" s="1" t="n">
        <v>6.14</v>
      </c>
    </row>
    <row r="12" customFormat="false" ht="13.5" hidden="false" customHeight="false" outlineLevel="0" collapsed="false">
      <c r="A12" s="1" t="s">
        <v>287</v>
      </c>
      <c r="B12" s="1" t="s">
        <v>31</v>
      </c>
      <c r="C12" s="1" t="s">
        <v>288</v>
      </c>
      <c r="D12" s="1" t="s">
        <v>33</v>
      </c>
      <c r="E12" s="1" t="n">
        <v>2</v>
      </c>
      <c r="F12" s="1" t="s">
        <v>187</v>
      </c>
      <c r="G12" s="1" t="s">
        <v>31</v>
      </c>
      <c r="H12" s="1" t="s">
        <v>289</v>
      </c>
      <c r="I12" s="2" t="n">
        <v>43854</v>
      </c>
      <c r="J12" s="2" t="n">
        <v>43855</v>
      </c>
      <c r="K12" s="1" t="s">
        <v>33</v>
      </c>
      <c r="L12" s="2" t="n">
        <v>43855</v>
      </c>
      <c r="M12" s="2" t="n">
        <v>43859</v>
      </c>
      <c r="N12" s="2" t="n">
        <v>43884</v>
      </c>
      <c r="O12" s="1" t="n">
        <v>0</v>
      </c>
      <c r="P12" s="1" t="n">
        <v>34</v>
      </c>
      <c r="Q12" s="1" t="n">
        <v>26.66666667</v>
      </c>
      <c r="R12" s="2" t="n">
        <v>43855</v>
      </c>
      <c r="S12" s="3" t="n">
        <v>5.21</v>
      </c>
      <c r="T12" s="3" t="n">
        <v>0.9576</v>
      </c>
      <c r="U12" s="3" t="n">
        <v>0.4452</v>
      </c>
      <c r="V12" s="1" t="n">
        <v>197</v>
      </c>
      <c r="W12" s="2" t="n">
        <v>43856</v>
      </c>
      <c r="X12" s="4" t="n">
        <v>4.33</v>
      </c>
      <c r="Y12" s="1" t="n">
        <v>20</v>
      </c>
      <c r="Z12" s="1" t="n">
        <v>24</v>
      </c>
      <c r="AA12" s="1" t="n">
        <v>26</v>
      </c>
      <c r="AB12" s="4" t="n">
        <v>6.8</v>
      </c>
      <c r="AC12" s="4" t="n">
        <v>2.4</v>
      </c>
      <c r="AD12" s="1" t="n">
        <v>66</v>
      </c>
      <c r="AE12" s="1" t="n">
        <v>5.05</v>
      </c>
    </row>
    <row r="13" customFormat="false" ht="13.5" hidden="false" customHeight="false" outlineLevel="0" collapsed="false">
      <c r="A13" s="1" t="s">
        <v>290</v>
      </c>
      <c r="B13" s="1" t="s">
        <v>54</v>
      </c>
      <c r="C13" s="1" t="s">
        <v>33</v>
      </c>
      <c r="D13" s="1" t="s">
        <v>33</v>
      </c>
      <c r="E13" s="1" t="n">
        <v>2</v>
      </c>
      <c r="F13" s="1" t="s">
        <v>33</v>
      </c>
      <c r="G13" s="1" t="s">
        <v>31</v>
      </c>
      <c r="H13" s="1" t="s">
        <v>291</v>
      </c>
      <c r="I13" s="2" t="n">
        <v>43856</v>
      </c>
      <c r="J13" s="2" t="n">
        <v>43861</v>
      </c>
      <c r="K13" s="1" t="s">
        <v>33</v>
      </c>
      <c r="L13" s="2" t="n">
        <v>43861</v>
      </c>
      <c r="M13" s="2" t="s">
        <v>33</v>
      </c>
      <c r="N13" s="2" t="n">
        <v>43890</v>
      </c>
      <c r="O13" s="1" t="n">
        <v>0</v>
      </c>
      <c r="P13" s="1" t="n">
        <v>54</v>
      </c>
      <c r="Q13" s="1" t="n">
        <v>26.43807082</v>
      </c>
      <c r="R13" s="2" t="n">
        <v>43861</v>
      </c>
      <c r="S13" s="3" t="n">
        <v>4.83</v>
      </c>
      <c r="T13" s="3" t="n">
        <v>1.86921</v>
      </c>
      <c r="U13" s="3" t="n">
        <v>0.18837</v>
      </c>
      <c r="V13" s="1" t="n">
        <v>181</v>
      </c>
      <c r="W13" s="2" t="n">
        <v>43861</v>
      </c>
      <c r="X13" s="4" t="n">
        <v>2.4</v>
      </c>
      <c r="Y13" s="1" t="n">
        <v>21</v>
      </c>
      <c r="Z13" s="1" t="n">
        <v>22</v>
      </c>
      <c r="AA13" s="1" t="n">
        <v>16</v>
      </c>
      <c r="AB13" s="4" t="n">
        <v>6.2</v>
      </c>
      <c r="AC13" s="4" t="n">
        <v>2.1</v>
      </c>
      <c r="AD13" s="1" t="n">
        <v>60</v>
      </c>
      <c r="AE13" s="1" t="n">
        <v>6.2</v>
      </c>
    </row>
    <row r="14" customFormat="false" ht="13.5" hidden="false" customHeight="false" outlineLevel="0" collapsed="false">
      <c r="A14" s="1" t="s">
        <v>292</v>
      </c>
      <c r="B14" s="1" t="s">
        <v>31</v>
      </c>
      <c r="C14" s="1" t="s">
        <v>293</v>
      </c>
      <c r="D14" s="1" t="s">
        <v>33</v>
      </c>
      <c r="E14" s="1" t="n">
        <v>2</v>
      </c>
      <c r="F14" s="1" t="s">
        <v>187</v>
      </c>
      <c r="G14" s="1" t="s">
        <v>31</v>
      </c>
      <c r="H14" s="1" t="s">
        <v>294</v>
      </c>
      <c r="I14" s="2" t="n">
        <v>43853</v>
      </c>
      <c r="J14" s="2" t="n">
        <v>43854</v>
      </c>
      <c r="K14" s="1" t="s">
        <v>33</v>
      </c>
      <c r="L14" s="2" t="n">
        <v>43855</v>
      </c>
      <c r="M14" s="2" t="n">
        <v>43868</v>
      </c>
      <c r="N14" s="2" t="n">
        <v>43868</v>
      </c>
      <c r="O14" s="1" t="n">
        <v>1</v>
      </c>
      <c r="P14" s="1" t="n">
        <v>31</v>
      </c>
      <c r="Q14" s="1" t="n">
        <v>23.1206236</v>
      </c>
      <c r="R14" s="2" t="n">
        <v>43854</v>
      </c>
      <c r="S14" s="3" t="n">
        <v>5.71</v>
      </c>
      <c r="T14" s="3" t="n">
        <v>1.3</v>
      </c>
      <c r="U14" s="3" t="n">
        <v>0.8</v>
      </c>
      <c r="V14" s="1" t="n">
        <v>213</v>
      </c>
      <c r="W14" s="2" t="n">
        <v>43855</v>
      </c>
      <c r="X14" s="4" t="n">
        <v>1.53</v>
      </c>
      <c r="Y14" s="1" t="n">
        <v>22</v>
      </c>
      <c r="Z14" s="1" t="n">
        <v>24</v>
      </c>
      <c r="AA14" s="1" t="n">
        <v>19</v>
      </c>
      <c r="AB14" s="4" t="n">
        <v>11.2</v>
      </c>
      <c r="AC14" s="4" t="n">
        <v>4.6</v>
      </c>
      <c r="AD14" s="1" t="n">
        <v>94</v>
      </c>
      <c r="AE14" s="1" t="n">
        <v>4.96</v>
      </c>
    </row>
    <row r="15" customFormat="false" ht="13.5" hidden="false" customHeight="false" outlineLevel="0" collapsed="false">
      <c r="A15" s="1" t="s">
        <v>295</v>
      </c>
      <c r="B15" s="1" t="s">
        <v>31</v>
      </c>
      <c r="C15" s="1" t="s">
        <v>296</v>
      </c>
      <c r="D15" s="1" t="s">
        <v>33</v>
      </c>
      <c r="E15" s="1" t="n">
        <v>2</v>
      </c>
      <c r="F15" s="1" t="s">
        <v>187</v>
      </c>
      <c r="G15" s="1" t="s">
        <v>31</v>
      </c>
      <c r="H15" s="1" t="s">
        <v>297</v>
      </c>
      <c r="I15" s="2" t="n">
        <v>43852</v>
      </c>
      <c r="J15" s="2" t="n">
        <v>43855</v>
      </c>
      <c r="K15" s="1" t="s">
        <v>33</v>
      </c>
      <c r="L15" s="2" t="n">
        <v>43856</v>
      </c>
      <c r="M15" s="2" t="n">
        <v>43867</v>
      </c>
      <c r="N15" s="2" t="n">
        <v>43879</v>
      </c>
      <c r="O15" s="1" t="n">
        <v>0</v>
      </c>
      <c r="P15" s="1" t="n">
        <v>37</v>
      </c>
      <c r="Q15" s="1" t="n">
        <v>21.484375</v>
      </c>
      <c r="R15" s="2" t="n">
        <v>43855</v>
      </c>
      <c r="S15" s="3" t="n">
        <v>4.18</v>
      </c>
      <c r="T15" s="3" t="n">
        <v>2.1</v>
      </c>
      <c r="U15" s="3" t="n">
        <v>0.3</v>
      </c>
      <c r="V15" s="1" t="n">
        <v>217</v>
      </c>
      <c r="W15" s="2" t="n">
        <v>43855</v>
      </c>
      <c r="X15" s="4" t="n">
        <v>2.44</v>
      </c>
      <c r="Y15" s="1" t="n">
        <v>17</v>
      </c>
      <c r="Z15" s="1" t="n">
        <v>20</v>
      </c>
      <c r="AA15" s="1" t="n">
        <v>18</v>
      </c>
      <c r="AB15" s="4" t="n">
        <v>6.9</v>
      </c>
      <c r="AC15" s="4" t="n">
        <v>2.8</v>
      </c>
      <c r="AD15" s="1" t="n">
        <v>62</v>
      </c>
      <c r="AE15" s="1" t="n">
        <v>4.76</v>
      </c>
    </row>
    <row r="16" customFormat="false" ht="13.5" hidden="false" customHeight="false" outlineLevel="0" collapsed="false">
      <c r="A16" s="1" t="s">
        <v>298</v>
      </c>
      <c r="B16" s="1" t="s">
        <v>31</v>
      </c>
      <c r="C16" s="1" t="s">
        <v>299</v>
      </c>
      <c r="D16" s="1" t="s">
        <v>33</v>
      </c>
      <c r="E16" s="1" t="n">
        <v>2</v>
      </c>
      <c r="F16" s="1" t="s">
        <v>187</v>
      </c>
      <c r="G16" s="1" t="s">
        <v>31</v>
      </c>
      <c r="H16" s="1" t="s">
        <v>300</v>
      </c>
      <c r="I16" s="2" t="n">
        <v>43858</v>
      </c>
      <c r="J16" s="2" t="n">
        <v>43859</v>
      </c>
      <c r="K16" s="1" t="s">
        <v>33</v>
      </c>
      <c r="L16" s="2" t="n">
        <v>43859</v>
      </c>
      <c r="M16" s="2" t="n">
        <v>43862</v>
      </c>
      <c r="N16" s="2" t="n">
        <v>43883</v>
      </c>
      <c r="O16" s="1" t="n">
        <v>1</v>
      </c>
      <c r="P16" s="1" t="n">
        <v>59</v>
      </c>
      <c r="Q16" s="1" t="n">
        <v>20.2812331</v>
      </c>
      <c r="R16" s="2" t="n">
        <v>43859</v>
      </c>
      <c r="S16" s="3" t="n">
        <v>7</v>
      </c>
      <c r="T16" s="3" t="n">
        <v>1.253</v>
      </c>
      <c r="U16" s="3" t="n">
        <v>0.77</v>
      </c>
      <c r="V16" s="1" t="n">
        <v>198</v>
      </c>
      <c r="W16" s="2" t="n">
        <v>43859</v>
      </c>
      <c r="X16" s="4" t="n">
        <v>17.3</v>
      </c>
      <c r="Y16" s="1" t="n">
        <v>21</v>
      </c>
      <c r="Z16" s="1" t="n">
        <v>33</v>
      </c>
      <c r="AA16" s="1" t="n">
        <v>40</v>
      </c>
      <c r="AB16" s="4" t="n">
        <v>9.6</v>
      </c>
      <c r="AC16" s="4" t="n">
        <v>2.9</v>
      </c>
      <c r="AD16" s="1" t="n">
        <v>110</v>
      </c>
      <c r="AE16" s="1" t="n">
        <v>4.87</v>
      </c>
    </row>
    <row r="17" customFormat="false" ht="13.5" hidden="false" customHeight="false" outlineLevel="0" collapsed="false">
      <c r="A17" s="1" t="s">
        <v>301</v>
      </c>
      <c r="B17" s="1" t="s">
        <v>31</v>
      </c>
      <c r="C17" s="1" t="s">
        <v>302</v>
      </c>
      <c r="D17" s="1" t="s">
        <v>33</v>
      </c>
      <c r="E17" s="1" t="n">
        <v>2</v>
      </c>
      <c r="F17" s="1" t="s">
        <v>187</v>
      </c>
      <c r="G17" s="1" t="s">
        <v>31</v>
      </c>
      <c r="H17" s="1" t="s">
        <v>303</v>
      </c>
      <c r="I17" s="2" t="n">
        <v>43858</v>
      </c>
      <c r="J17" s="2" t="n">
        <v>43862</v>
      </c>
      <c r="K17" s="1" t="s">
        <v>33</v>
      </c>
      <c r="L17" s="2" t="n">
        <v>43863</v>
      </c>
      <c r="M17" s="2" t="n">
        <v>43863</v>
      </c>
      <c r="N17" s="2" t="n">
        <v>43874</v>
      </c>
      <c r="O17" s="1" t="n">
        <v>1</v>
      </c>
      <c r="P17" s="1" t="n">
        <v>39</v>
      </c>
      <c r="Q17" s="1" t="n">
        <v>24.22145329</v>
      </c>
      <c r="R17" s="2" t="n">
        <v>43862</v>
      </c>
      <c r="S17" s="3" t="n">
        <v>3.01</v>
      </c>
      <c r="T17" s="3" t="n">
        <v>0.750694</v>
      </c>
      <c r="U17" s="3" t="n">
        <v>0.362404</v>
      </c>
      <c r="V17" s="1" t="n">
        <v>76</v>
      </c>
      <c r="W17" s="2" t="n">
        <v>43862</v>
      </c>
      <c r="X17" s="4" t="n">
        <v>9.7</v>
      </c>
      <c r="Y17" s="1" t="n">
        <v>17.7</v>
      </c>
      <c r="Z17" s="1" t="n">
        <v>30</v>
      </c>
      <c r="AA17" s="1" t="n">
        <v>13</v>
      </c>
      <c r="AB17" s="4" t="n">
        <v>31.4</v>
      </c>
      <c r="AC17" s="4" t="n">
        <v>13.8</v>
      </c>
      <c r="AD17" s="1" t="n">
        <v>84</v>
      </c>
      <c r="AE17" s="1" t="n">
        <v>5.5</v>
      </c>
    </row>
    <row r="18" customFormat="false" ht="13.5" hidden="false" customHeight="false" outlineLevel="0" collapsed="false">
      <c r="A18" s="1" t="s">
        <v>304</v>
      </c>
      <c r="B18" s="1" t="s">
        <v>31</v>
      </c>
      <c r="C18" s="1" t="s">
        <v>305</v>
      </c>
      <c r="D18" s="1" t="s">
        <v>33</v>
      </c>
      <c r="E18" s="1" t="n">
        <v>2</v>
      </c>
      <c r="F18" s="1" t="s">
        <v>187</v>
      </c>
      <c r="G18" s="1" t="s">
        <v>31</v>
      </c>
      <c r="H18" s="1" t="s">
        <v>306</v>
      </c>
      <c r="I18" s="2" t="n">
        <v>43851</v>
      </c>
      <c r="J18" s="2" t="n">
        <v>43853</v>
      </c>
      <c r="K18" s="1" t="s">
        <v>33</v>
      </c>
      <c r="L18" s="2" t="n">
        <v>43853</v>
      </c>
      <c r="M18" s="2" t="n">
        <v>43863</v>
      </c>
      <c r="N18" s="2" t="n">
        <v>43863</v>
      </c>
      <c r="O18" s="1" t="n">
        <v>1</v>
      </c>
      <c r="P18" s="1" t="n">
        <v>32</v>
      </c>
      <c r="Q18" s="1" t="n">
        <v>30.11621315</v>
      </c>
      <c r="R18" s="2" t="n">
        <v>43854</v>
      </c>
      <c r="S18" s="3" t="n">
        <v>5.6</v>
      </c>
      <c r="T18" s="3" t="n">
        <v>1.9488</v>
      </c>
      <c r="U18" s="3" t="n">
        <v>0.644</v>
      </c>
      <c r="V18" s="1" t="n">
        <v>228</v>
      </c>
      <c r="W18" s="2" t="n">
        <v>43854</v>
      </c>
      <c r="X18" s="4" t="n">
        <v>2.3</v>
      </c>
      <c r="Y18" s="1" t="n">
        <v>35</v>
      </c>
      <c r="Z18" s="1" t="n">
        <v>29</v>
      </c>
      <c r="AA18" s="1" t="n">
        <v>44</v>
      </c>
      <c r="AB18" s="4" t="n">
        <v>12.1</v>
      </c>
      <c r="AC18" s="4" t="n">
        <v>4</v>
      </c>
      <c r="AD18" s="1" t="n">
        <v>82</v>
      </c>
      <c r="AE18" s="1" t="n">
        <v>4.9</v>
      </c>
    </row>
    <row r="19" customFormat="false" ht="13.5" hidden="false" customHeight="false" outlineLevel="0" collapsed="false">
      <c r="A19" s="1" t="s">
        <v>307</v>
      </c>
      <c r="B19" s="1" t="s">
        <v>31</v>
      </c>
      <c r="C19" s="1" t="s">
        <v>308</v>
      </c>
      <c r="D19" s="1" t="s">
        <v>33</v>
      </c>
      <c r="E19" s="1" t="n">
        <v>2</v>
      </c>
      <c r="F19" s="1" t="s">
        <v>187</v>
      </c>
      <c r="G19" s="1" t="s">
        <v>31</v>
      </c>
      <c r="H19" s="1" t="s">
        <v>309</v>
      </c>
      <c r="I19" s="2" t="n">
        <v>43858</v>
      </c>
      <c r="J19" s="2" t="n">
        <v>43859</v>
      </c>
      <c r="K19" s="1" t="s">
        <v>33</v>
      </c>
      <c r="L19" s="2" t="n">
        <v>43868</v>
      </c>
      <c r="M19" s="2" t="n">
        <v>43859</v>
      </c>
      <c r="N19" s="2" t="n">
        <v>43871</v>
      </c>
      <c r="O19" s="1" t="n">
        <v>1</v>
      </c>
      <c r="P19" s="1" t="n">
        <v>20</v>
      </c>
      <c r="Q19" s="1" t="n">
        <v>18.9370029</v>
      </c>
      <c r="R19" s="2" t="n">
        <v>43859</v>
      </c>
      <c r="S19" s="3" t="n">
        <v>6.15</v>
      </c>
      <c r="T19" s="3" t="n">
        <v>1.6</v>
      </c>
      <c r="U19" s="3" t="n">
        <v>0.3</v>
      </c>
      <c r="V19" s="1" t="n">
        <v>202</v>
      </c>
      <c r="W19" s="2" t="n">
        <v>43859</v>
      </c>
      <c r="X19" s="4" t="n">
        <v>15.4</v>
      </c>
      <c r="Y19" s="1" t="n">
        <v>31</v>
      </c>
      <c r="Z19" s="1" t="n">
        <v>28</v>
      </c>
      <c r="AA19" s="1" t="n">
        <v>21</v>
      </c>
      <c r="AB19" s="4" t="n">
        <v>6.8</v>
      </c>
      <c r="AC19" s="4" t="n">
        <v>1.8</v>
      </c>
      <c r="AD19" s="1" t="n">
        <v>92</v>
      </c>
      <c r="AE19" s="1" t="n">
        <v>6.79</v>
      </c>
    </row>
    <row r="20" customFormat="false" ht="13.5" hidden="false" customHeight="false" outlineLevel="0" collapsed="false">
      <c r="A20" s="1" t="s">
        <v>310</v>
      </c>
      <c r="B20" s="1" t="s">
        <v>31</v>
      </c>
      <c r="C20" s="1" t="s">
        <v>311</v>
      </c>
      <c r="D20" s="1" t="s">
        <v>33</v>
      </c>
      <c r="E20" s="1" t="n">
        <v>2</v>
      </c>
      <c r="F20" s="1" t="s">
        <v>187</v>
      </c>
      <c r="G20" s="1" t="s">
        <v>31</v>
      </c>
      <c r="H20" s="1" t="s">
        <v>312</v>
      </c>
      <c r="I20" s="2" t="n">
        <v>43855</v>
      </c>
      <c r="J20" s="2" t="n">
        <v>43855</v>
      </c>
      <c r="K20" s="1" t="s">
        <v>33</v>
      </c>
      <c r="L20" s="2" t="n">
        <v>43855</v>
      </c>
      <c r="M20" s="2" t="n">
        <v>43855</v>
      </c>
      <c r="N20" s="2" t="n">
        <v>43879</v>
      </c>
      <c r="O20" s="1" t="n">
        <v>1</v>
      </c>
      <c r="P20" s="1" t="n">
        <v>46</v>
      </c>
      <c r="Q20" s="1" t="n">
        <v>26.7299275</v>
      </c>
      <c r="R20" s="2" t="n">
        <v>43855</v>
      </c>
      <c r="S20" s="3" t="n">
        <v>5.62</v>
      </c>
      <c r="T20" s="3" t="n">
        <v>1</v>
      </c>
      <c r="U20" s="3" t="n">
        <v>0.4</v>
      </c>
      <c r="V20" s="1" t="n">
        <v>179</v>
      </c>
      <c r="W20" s="2" t="n">
        <v>43856</v>
      </c>
      <c r="X20" s="4" t="n">
        <v>6.85</v>
      </c>
      <c r="Y20" s="1" t="n">
        <v>30</v>
      </c>
      <c r="Z20" s="1" t="n">
        <v>27</v>
      </c>
      <c r="AA20" s="1" t="n">
        <v>68</v>
      </c>
      <c r="AB20" s="4" t="n">
        <v>10.4</v>
      </c>
      <c r="AC20" s="4" t="n">
        <v>2.8</v>
      </c>
      <c r="AD20" s="1" t="n">
        <v>100</v>
      </c>
      <c r="AE20" s="1" t="n">
        <v>9.91</v>
      </c>
    </row>
    <row r="21" customFormat="false" ht="13.5" hidden="false" customHeight="false" outlineLevel="0" collapsed="false">
      <c r="A21" s="1" t="s">
        <v>185</v>
      </c>
      <c r="B21" s="1" t="s">
        <v>31</v>
      </c>
      <c r="C21" s="1" t="s">
        <v>186</v>
      </c>
      <c r="D21" s="1" t="s">
        <v>33</v>
      </c>
      <c r="E21" s="1" t="n">
        <v>3</v>
      </c>
      <c r="F21" s="1" t="s">
        <v>187</v>
      </c>
      <c r="G21" s="1" t="s">
        <v>31</v>
      </c>
      <c r="H21" s="1" t="s">
        <v>188</v>
      </c>
      <c r="I21" s="2" t="n">
        <v>43853</v>
      </c>
      <c r="J21" s="2" t="n">
        <v>43855</v>
      </c>
      <c r="K21" s="2" t="n">
        <v>43857</v>
      </c>
      <c r="L21" s="2" t="n">
        <v>43855</v>
      </c>
      <c r="M21" s="2" t="n">
        <v>43855</v>
      </c>
      <c r="N21" s="2" t="n">
        <v>43870</v>
      </c>
      <c r="O21" s="1" t="n">
        <v>1</v>
      </c>
      <c r="P21" s="1" t="n">
        <v>30</v>
      </c>
      <c r="Q21" s="1" t="n">
        <v>24.8015873</v>
      </c>
      <c r="R21" s="2" t="n">
        <v>43855</v>
      </c>
      <c r="S21" s="3" t="n">
        <v>5.19</v>
      </c>
      <c r="T21" s="3" t="n">
        <v>1.2</v>
      </c>
      <c r="U21" s="3" t="n">
        <v>0.4558</v>
      </c>
      <c r="V21" s="1" t="n">
        <v>118</v>
      </c>
      <c r="W21" s="2" t="n">
        <v>43855</v>
      </c>
      <c r="X21" s="4" t="n">
        <v>42.53</v>
      </c>
      <c r="Y21" s="1" t="n">
        <v>69</v>
      </c>
      <c r="Z21" s="1" t="n">
        <v>77</v>
      </c>
      <c r="AA21" s="1" t="n">
        <v>77</v>
      </c>
      <c r="AB21" s="4" t="n">
        <v>11.8</v>
      </c>
      <c r="AC21" s="4" t="n">
        <v>3.8</v>
      </c>
      <c r="AD21" s="1" t="n">
        <v>89</v>
      </c>
      <c r="AE21" s="1" t="n">
        <v>6.95</v>
      </c>
    </row>
    <row r="22" customFormat="false" ht="13.5" hidden="false" customHeight="false" outlineLevel="0" collapsed="false">
      <c r="A22" s="1" t="s">
        <v>189</v>
      </c>
      <c r="B22" s="1" t="s">
        <v>31</v>
      </c>
      <c r="C22" s="1" t="s">
        <v>190</v>
      </c>
      <c r="D22" s="1" t="s">
        <v>33</v>
      </c>
      <c r="E22" s="1" t="n">
        <v>3</v>
      </c>
      <c r="F22" s="1" t="s">
        <v>187</v>
      </c>
      <c r="G22" s="1" t="s">
        <v>31</v>
      </c>
      <c r="H22" s="1" t="s">
        <v>191</v>
      </c>
      <c r="I22" s="2" t="n">
        <v>43855</v>
      </c>
      <c r="J22" s="2" t="n">
        <v>43858</v>
      </c>
      <c r="K22" s="2" t="n">
        <v>43858</v>
      </c>
      <c r="L22" s="2" t="n">
        <v>43858</v>
      </c>
      <c r="M22" s="2" t="n">
        <v>43858</v>
      </c>
      <c r="N22" s="2" t="n">
        <v>43895</v>
      </c>
      <c r="O22" s="1" t="n">
        <v>1</v>
      </c>
      <c r="P22" s="1" t="n">
        <v>34</v>
      </c>
      <c r="Q22" s="1" t="n">
        <v>26.93877551</v>
      </c>
      <c r="R22" s="2" t="n">
        <v>43858</v>
      </c>
      <c r="S22" s="3" t="n">
        <v>6</v>
      </c>
      <c r="T22" s="3" t="n">
        <v>1.062</v>
      </c>
      <c r="U22" s="3" t="n">
        <v>0.432</v>
      </c>
      <c r="V22" s="1" t="n">
        <v>112</v>
      </c>
      <c r="W22" s="2" t="n">
        <v>43858</v>
      </c>
      <c r="X22" s="4" t="n">
        <v>58.55</v>
      </c>
      <c r="Y22" s="1" t="n">
        <v>21</v>
      </c>
      <c r="Z22" s="1" t="n">
        <v>26</v>
      </c>
      <c r="AA22" s="1" t="n">
        <v>21</v>
      </c>
      <c r="AB22" s="4" t="n">
        <v>24.9</v>
      </c>
      <c r="AC22" s="4" t="n">
        <v>10.2</v>
      </c>
      <c r="AD22" s="1" t="n">
        <v>103</v>
      </c>
      <c r="AE22" s="1" t="n">
        <v>7.32</v>
      </c>
    </row>
    <row r="23" customFormat="false" ht="13.5" hidden="false" customHeight="false" outlineLevel="0" collapsed="false">
      <c r="A23" s="1" t="s">
        <v>192</v>
      </c>
      <c r="B23" s="1" t="s">
        <v>54</v>
      </c>
      <c r="C23" s="1" t="s">
        <v>33</v>
      </c>
      <c r="D23" s="1" t="s">
        <v>33</v>
      </c>
      <c r="E23" s="1" t="n">
        <v>3</v>
      </c>
      <c r="F23" s="1" t="s">
        <v>33</v>
      </c>
      <c r="G23" s="1" t="s">
        <v>31</v>
      </c>
      <c r="H23" s="1" t="s">
        <v>193</v>
      </c>
      <c r="I23" s="2" t="n">
        <v>43845</v>
      </c>
      <c r="J23" s="2" t="n">
        <v>43857</v>
      </c>
      <c r="K23" s="2" t="n">
        <v>43858</v>
      </c>
      <c r="L23" s="2" t="n">
        <v>43868</v>
      </c>
      <c r="M23" s="2" t="s">
        <v>33</v>
      </c>
      <c r="N23" s="2" t="n">
        <v>43879</v>
      </c>
      <c r="O23" s="1" t="n">
        <v>1</v>
      </c>
      <c r="P23" s="1" t="n">
        <v>51</v>
      </c>
      <c r="Q23" s="1" t="n">
        <v>27.34375</v>
      </c>
      <c r="R23" s="2" t="n">
        <v>43857</v>
      </c>
      <c r="S23" s="3" t="n">
        <v>4.7</v>
      </c>
      <c r="T23" s="3" t="n">
        <v>1.1092</v>
      </c>
      <c r="U23" s="3" t="n">
        <v>0.5922</v>
      </c>
      <c r="V23" s="1" t="n">
        <v>185</v>
      </c>
      <c r="W23" s="2" t="n">
        <v>43857</v>
      </c>
      <c r="X23" s="4" t="n">
        <v>9.7</v>
      </c>
      <c r="Y23" s="1" t="n">
        <v>37</v>
      </c>
      <c r="Z23" s="1" t="n">
        <v>45</v>
      </c>
      <c r="AA23" s="1" t="n">
        <v>25</v>
      </c>
      <c r="AB23" s="4" t="n">
        <v>15.4</v>
      </c>
      <c r="AC23" s="4" t="n">
        <v>5</v>
      </c>
      <c r="AD23" s="1" t="n">
        <v>98</v>
      </c>
      <c r="AE23" s="1" t="n">
        <v>16.28</v>
      </c>
    </row>
    <row r="24" customFormat="false" ht="13.5" hidden="false" customHeight="false" outlineLevel="0" collapsed="false">
      <c r="A24" s="1" t="s">
        <v>194</v>
      </c>
      <c r="B24" s="1" t="s">
        <v>31</v>
      </c>
      <c r="C24" s="1" t="s">
        <v>195</v>
      </c>
      <c r="D24" s="1" t="s">
        <v>33</v>
      </c>
      <c r="E24" s="1" t="n">
        <v>3</v>
      </c>
      <c r="F24" s="1" t="s">
        <v>187</v>
      </c>
      <c r="G24" s="1" t="s">
        <v>31</v>
      </c>
      <c r="H24" s="1" t="s">
        <v>196</v>
      </c>
      <c r="I24" s="2" t="n">
        <v>43849</v>
      </c>
      <c r="J24" s="2" t="n">
        <v>43854</v>
      </c>
      <c r="K24" s="2" t="n">
        <v>43853</v>
      </c>
      <c r="L24" s="2" t="n">
        <v>43864</v>
      </c>
      <c r="M24" s="2" t="n">
        <v>43855</v>
      </c>
      <c r="N24" s="2" t="n">
        <v>43879</v>
      </c>
      <c r="O24" s="1" t="n">
        <v>1</v>
      </c>
      <c r="P24" s="1" t="n">
        <v>47</v>
      </c>
      <c r="Q24" s="1" t="n">
        <v>22.265625</v>
      </c>
      <c r="R24" s="2" t="n">
        <v>43854</v>
      </c>
      <c r="S24" s="3" t="n">
        <v>6.76</v>
      </c>
      <c r="T24" s="3" t="n">
        <v>0.9</v>
      </c>
      <c r="U24" s="3" t="n">
        <v>0.5</v>
      </c>
      <c r="V24" s="1" t="n">
        <v>240</v>
      </c>
      <c r="W24" s="2" t="n">
        <v>43855</v>
      </c>
      <c r="X24" s="4" t="n">
        <v>16.9</v>
      </c>
      <c r="Y24" s="1" t="n">
        <v>24</v>
      </c>
      <c r="Z24" s="1" t="n">
        <v>26</v>
      </c>
      <c r="AA24" s="1" t="n">
        <v>15</v>
      </c>
      <c r="AB24" s="4" t="n">
        <v>5.3</v>
      </c>
      <c r="AC24" s="4" t="n">
        <v>1.5</v>
      </c>
      <c r="AD24" s="1" t="n">
        <v>335</v>
      </c>
      <c r="AE24" s="1" t="n">
        <v>5.42</v>
      </c>
    </row>
    <row r="25" customFormat="false" ht="13.5" hidden="false" customHeight="false" outlineLevel="0" collapsed="false">
      <c r="A25" s="1" t="s">
        <v>197</v>
      </c>
      <c r="B25" s="1" t="s">
        <v>54</v>
      </c>
      <c r="C25" s="1" t="s">
        <v>33</v>
      </c>
      <c r="D25" s="1" t="s">
        <v>33</v>
      </c>
      <c r="E25" s="1" t="n">
        <v>3</v>
      </c>
      <c r="F25" s="1" t="s">
        <v>33</v>
      </c>
      <c r="G25" s="1" t="s">
        <v>31</v>
      </c>
      <c r="H25" s="1" t="s">
        <v>198</v>
      </c>
      <c r="I25" s="2" t="n">
        <v>43853</v>
      </c>
      <c r="J25" s="2" t="n">
        <v>43855</v>
      </c>
      <c r="K25" s="2" t="n">
        <v>43861</v>
      </c>
      <c r="L25" s="2" t="n">
        <v>43870</v>
      </c>
      <c r="M25" s="2" t="s">
        <v>33</v>
      </c>
      <c r="N25" s="2" t="n">
        <v>43888</v>
      </c>
      <c r="O25" s="1" t="n">
        <v>0</v>
      </c>
      <c r="P25" s="1" t="n">
        <v>56</v>
      </c>
      <c r="Q25" s="1" t="n">
        <v>28.7317468902109</v>
      </c>
      <c r="R25" s="2" t="n">
        <v>43856</v>
      </c>
      <c r="S25" s="3" t="n">
        <v>1.9</v>
      </c>
      <c r="T25" s="3" t="n">
        <v>0.8645</v>
      </c>
      <c r="U25" s="3" t="n">
        <v>0.2489</v>
      </c>
      <c r="V25" s="1" t="n">
        <v>121</v>
      </c>
      <c r="W25" s="2" t="n">
        <v>43856</v>
      </c>
      <c r="X25" s="4" t="n">
        <v>2.76</v>
      </c>
      <c r="Y25" s="1" t="n">
        <v>21</v>
      </c>
      <c r="Z25" s="1" t="n">
        <v>28</v>
      </c>
      <c r="AA25" s="1" t="n">
        <v>72</v>
      </c>
      <c r="AB25" s="4" t="n">
        <v>9.9</v>
      </c>
      <c r="AC25" s="4" t="n">
        <v>3</v>
      </c>
      <c r="AD25" s="1" t="n">
        <v>78</v>
      </c>
      <c r="AE25" s="1" t="n">
        <v>5.95</v>
      </c>
    </row>
    <row r="26" customFormat="false" ht="13.5" hidden="false" customHeight="false" outlineLevel="0" collapsed="false">
      <c r="A26" s="1" t="s">
        <v>199</v>
      </c>
      <c r="B26" s="1" t="s">
        <v>31</v>
      </c>
      <c r="C26" s="1" t="s">
        <v>200</v>
      </c>
      <c r="D26" s="1" t="s">
        <v>33</v>
      </c>
      <c r="E26" s="1" t="n">
        <v>3</v>
      </c>
      <c r="F26" s="1" t="s">
        <v>187</v>
      </c>
      <c r="G26" s="1" t="s">
        <v>31</v>
      </c>
      <c r="H26" s="1" t="s">
        <v>201</v>
      </c>
      <c r="I26" s="2" t="n">
        <v>43851</v>
      </c>
      <c r="J26" s="2" t="n">
        <v>43853</v>
      </c>
      <c r="K26" s="2" t="n">
        <v>43854</v>
      </c>
      <c r="L26" s="2" t="n">
        <v>43853</v>
      </c>
      <c r="M26" s="2" t="n">
        <v>43854</v>
      </c>
      <c r="N26" s="2" t="n">
        <v>43869</v>
      </c>
      <c r="O26" s="1" t="n">
        <v>1</v>
      </c>
      <c r="P26" s="1" t="n">
        <v>54</v>
      </c>
      <c r="Q26" s="1" t="n">
        <v>31.26690103</v>
      </c>
      <c r="R26" s="2" t="n">
        <v>43853</v>
      </c>
      <c r="S26" s="3" t="n">
        <v>5.5</v>
      </c>
      <c r="T26" s="3" t="n">
        <v>1.441</v>
      </c>
      <c r="U26" s="3" t="n">
        <v>0.649</v>
      </c>
      <c r="V26" s="1" t="n">
        <v>119</v>
      </c>
      <c r="W26" s="2" t="n">
        <v>43854</v>
      </c>
      <c r="X26" s="4" t="n">
        <v>31</v>
      </c>
      <c r="Y26" s="1" t="n">
        <v>97</v>
      </c>
      <c r="Z26" s="1" t="n">
        <v>47</v>
      </c>
      <c r="AA26" s="1" t="n">
        <v>55</v>
      </c>
      <c r="AB26" s="4" t="n">
        <v>32.7</v>
      </c>
      <c r="AC26" s="4" t="n">
        <v>17.9</v>
      </c>
      <c r="AD26" s="1" t="n">
        <v>69</v>
      </c>
      <c r="AE26" s="1" t="n">
        <v>8.1</v>
      </c>
    </row>
    <row r="27" customFormat="false" ht="13.5" hidden="false" customHeight="false" outlineLevel="0" collapsed="false">
      <c r="A27" s="1" t="s">
        <v>202</v>
      </c>
      <c r="B27" s="1" t="s">
        <v>54</v>
      </c>
      <c r="C27" s="1" t="s">
        <v>33</v>
      </c>
      <c r="D27" s="1" t="s">
        <v>33</v>
      </c>
      <c r="E27" s="1" t="n">
        <v>3</v>
      </c>
      <c r="F27" s="1" t="s">
        <v>33</v>
      </c>
      <c r="G27" s="1" t="s">
        <v>31</v>
      </c>
      <c r="H27" s="1" t="s">
        <v>203</v>
      </c>
      <c r="I27" s="2" t="n">
        <v>43839</v>
      </c>
      <c r="J27" s="2" t="n">
        <v>43854</v>
      </c>
      <c r="K27" s="2" t="n">
        <v>43855</v>
      </c>
      <c r="L27" s="2" t="n">
        <v>43854</v>
      </c>
      <c r="M27" s="2" t="s">
        <v>33</v>
      </c>
      <c r="N27" s="2" t="n">
        <v>43875</v>
      </c>
      <c r="O27" s="1" t="n">
        <v>1</v>
      </c>
      <c r="P27" s="1" t="n">
        <v>74</v>
      </c>
      <c r="Q27" s="1" t="n">
        <v>27.05515088</v>
      </c>
      <c r="R27" s="2" t="n">
        <v>43854</v>
      </c>
      <c r="S27" s="3" t="n">
        <v>3.75</v>
      </c>
      <c r="T27" s="3" t="n">
        <v>0.7</v>
      </c>
      <c r="U27" s="3" t="n">
        <v>0.4</v>
      </c>
      <c r="V27" s="1" t="n">
        <v>120</v>
      </c>
      <c r="W27" s="2" t="n">
        <v>43856</v>
      </c>
      <c r="X27" s="4" t="n">
        <v>12.7</v>
      </c>
      <c r="Y27" s="1" t="n">
        <v>22</v>
      </c>
      <c r="Z27" s="1" t="n">
        <v>33</v>
      </c>
      <c r="AA27" s="1" t="n">
        <v>17</v>
      </c>
      <c r="AB27" s="4" t="n">
        <v>22.5</v>
      </c>
      <c r="AC27" s="4" t="n">
        <v>8.4</v>
      </c>
      <c r="AD27" s="1" t="n">
        <v>67</v>
      </c>
      <c r="AE27" s="1" t="n">
        <v>7.66</v>
      </c>
    </row>
    <row r="28" customFormat="false" ht="13.5" hidden="false" customHeight="false" outlineLevel="0" collapsed="false">
      <c r="A28" s="1" t="s">
        <v>204</v>
      </c>
      <c r="B28" s="1" t="s">
        <v>31</v>
      </c>
      <c r="C28" s="1" t="s">
        <v>205</v>
      </c>
      <c r="D28" s="1" t="s">
        <v>206</v>
      </c>
      <c r="E28" s="1" t="n">
        <v>3</v>
      </c>
      <c r="F28" s="1" t="s">
        <v>187</v>
      </c>
      <c r="G28" s="1" t="s">
        <v>31</v>
      </c>
      <c r="H28" s="1" t="s">
        <v>207</v>
      </c>
      <c r="I28" s="2" t="n">
        <v>43853</v>
      </c>
      <c r="J28" s="2" t="n">
        <v>43854</v>
      </c>
      <c r="K28" s="2" t="n">
        <v>43857</v>
      </c>
      <c r="L28" s="2" t="n">
        <v>43854</v>
      </c>
      <c r="M28" s="2" t="n">
        <v>43864</v>
      </c>
      <c r="N28" s="2" t="n">
        <v>43879</v>
      </c>
      <c r="O28" s="1" t="n">
        <v>0</v>
      </c>
      <c r="P28" s="1" t="n">
        <v>35</v>
      </c>
      <c r="Q28" s="1" t="n">
        <v>25.64891762</v>
      </c>
      <c r="R28" s="2" t="n">
        <v>43854</v>
      </c>
      <c r="S28" s="3" t="n">
        <v>5.98</v>
      </c>
      <c r="T28" s="3" t="n">
        <v>1.6</v>
      </c>
      <c r="U28" s="3" t="n">
        <v>0.6</v>
      </c>
      <c r="V28" s="1" t="n">
        <v>301</v>
      </c>
      <c r="W28" s="2" t="n">
        <v>43854</v>
      </c>
      <c r="X28" s="4" t="n">
        <v>1.99</v>
      </c>
      <c r="Y28" s="1" t="n">
        <v>34</v>
      </c>
      <c r="Z28" s="1" t="n">
        <v>28</v>
      </c>
      <c r="AA28" s="1" t="n">
        <v>50</v>
      </c>
      <c r="AB28" s="4" t="n">
        <v>5.6</v>
      </c>
      <c r="AC28" s="4" t="n">
        <v>1.8</v>
      </c>
      <c r="AD28" s="1" t="n">
        <v>72</v>
      </c>
      <c r="AE28" s="1" t="n">
        <v>5.48</v>
      </c>
    </row>
    <row r="29" customFormat="false" ht="13.5" hidden="false" customHeight="false" outlineLevel="0" collapsed="false">
      <c r="A29" s="1" t="s">
        <v>208</v>
      </c>
      <c r="B29" s="1" t="s">
        <v>31</v>
      </c>
      <c r="C29" s="1" t="s">
        <v>209</v>
      </c>
      <c r="D29" s="1" t="s">
        <v>33</v>
      </c>
      <c r="E29" s="1" t="n">
        <v>3</v>
      </c>
      <c r="F29" s="1" t="s">
        <v>187</v>
      </c>
      <c r="G29" s="1" t="s">
        <v>31</v>
      </c>
      <c r="H29" s="1" t="s">
        <v>210</v>
      </c>
      <c r="I29" s="2" t="n">
        <v>43850</v>
      </c>
      <c r="J29" s="2" t="n">
        <v>43850</v>
      </c>
      <c r="K29" s="2" t="n">
        <v>43851</v>
      </c>
      <c r="L29" s="2" t="n">
        <v>43857</v>
      </c>
      <c r="M29" s="2" t="n">
        <v>43854</v>
      </c>
      <c r="N29" s="2" t="n">
        <v>43876</v>
      </c>
      <c r="O29" s="1" t="n">
        <v>0</v>
      </c>
      <c r="P29" s="1" t="n">
        <v>62</v>
      </c>
      <c r="Q29" s="1" t="n">
        <v>27.99036281</v>
      </c>
      <c r="R29" s="2" t="n">
        <v>43850</v>
      </c>
      <c r="S29" s="3" t="n">
        <v>3.7</v>
      </c>
      <c r="T29" s="3" t="n">
        <v>0.7844</v>
      </c>
      <c r="U29" s="3" t="n">
        <v>0.2812</v>
      </c>
      <c r="V29" s="1" t="n">
        <v>156</v>
      </c>
      <c r="W29" s="2" t="n">
        <v>43851</v>
      </c>
      <c r="X29" s="4" t="n">
        <v>23.5</v>
      </c>
      <c r="Y29" s="1" t="n">
        <v>11</v>
      </c>
      <c r="Z29" s="1" t="n">
        <v>25</v>
      </c>
      <c r="AA29" s="1" t="n">
        <v>20</v>
      </c>
      <c r="AB29" s="4" t="n">
        <v>6.3</v>
      </c>
      <c r="AC29" s="4" t="n">
        <v>3.2</v>
      </c>
      <c r="AD29" s="1" t="n">
        <v>73</v>
      </c>
      <c r="AE29" s="1" t="n">
        <v>8.76</v>
      </c>
    </row>
    <row r="30" customFormat="false" ht="13.5" hidden="false" customHeight="false" outlineLevel="0" collapsed="false">
      <c r="A30" s="1" t="s">
        <v>211</v>
      </c>
      <c r="B30" s="1" t="s">
        <v>31</v>
      </c>
      <c r="C30" s="1" t="s">
        <v>212</v>
      </c>
      <c r="D30" s="1" t="s">
        <v>33</v>
      </c>
      <c r="E30" s="1" t="n">
        <v>3</v>
      </c>
      <c r="F30" s="1" t="s">
        <v>187</v>
      </c>
      <c r="G30" s="1" t="s">
        <v>345</v>
      </c>
      <c r="H30" s="1" t="s">
        <v>213</v>
      </c>
      <c r="I30" s="2" t="n">
        <v>43863</v>
      </c>
      <c r="J30" s="2" t="n">
        <v>43865</v>
      </c>
      <c r="K30" s="2" t="n">
        <v>43868</v>
      </c>
      <c r="L30" s="2" t="n">
        <v>43866</v>
      </c>
      <c r="M30" s="2" t="n">
        <v>43866</v>
      </c>
      <c r="N30" s="2" t="n">
        <v>43892</v>
      </c>
      <c r="O30" s="1" t="n">
        <v>1</v>
      </c>
      <c r="P30" s="1" t="n">
        <v>43</v>
      </c>
      <c r="Q30" s="1" t="n">
        <v>24.38652644</v>
      </c>
      <c r="R30" s="2" t="n">
        <v>43865</v>
      </c>
      <c r="S30" s="3" t="n">
        <v>7.59</v>
      </c>
      <c r="T30" s="3" t="n">
        <v>0.783288</v>
      </c>
      <c r="U30" s="3" t="n">
        <v>0.59961</v>
      </c>
      <c r="V30" s="1" t="n">
        <v>174</v>
      </c>
      <c r="W30" s="2" t="n">
        <v>43865</v>
      </c>
      <c r="X30" s="4" t="n">
        <v>37.9</v>
      </c>
      <c r="Y30" s="1" t="n">
        <v>24</v>
      </c>
      <c r="Z30" s="1" t="n">
        <v>24</v>
      </c>
      <c r="AA30" s="1" t="n">
        <v>24</v>
      </c>
      <c r="AB30" s="4" t="n">
        <v>36.4</v>
      </c>
      <c r="AC30" s="4" t="n">
        <v>13.6</v>
      </c>
      <c r="AD30" s="1" t="n">
        <v>95</v>
      </c>
      <c r="AE30" s="1" t="n">
        <v>8.72</v>
      </c>
    </row>
    <row r="31" customFormat="false" ht="13.5" hidden="false" customHeight="false" outlineLevel="0" collapsed="false">
      <c r="A31" s="1" t="s">
        <v>214</v>
      </c>
      <c r="B31" s="1" t="s">
        <v>31</v>
      </c>
      <c r="C31" s="1" t="s">
        <v>215</v>
      </c>
      <c r="D31" s="1" t="s">
        <v>33</v>
      </c>
      <c r="E31" s="1" t="n">
        <v>3</v>
      </c>
      <c r="F31" s="1" t="s">
        <v>187</v>
      </c>
      <c r="G31" s="1" t="s">
        <v>31</v>
      </c>
      <c r="H31" s="1" t="s">
        <v>216</v>
      </c>
      <c r="I31" s="2" t="n">
        <v>43848</v>
      </c>
      <c r="J31" s="2" t="n">
        <v>43861</v>
      </c>
      <c r="K31" s="2" t="n">
        <v>43861</v>
      </c>
      <c r="L31" s="2" t="n">
        <v>43863</v>
      </c>
      <c r="M31" s="2" t="n">
        <v>43862</v>
      </c>
      <c r="N31" s="2" t="n">
        <v>43883</v>
      </c>
      <c r="O31" s="1" t="n">
        <v>1</v>
      </c>
      <c r="P31" s="1" t="n">
        <v>47</v>
      </c>
      <c r="Q31" s="1" t="n">
        <v>22.72043837</v>
      </c>
      <c r="R31" s="2" t="n">
        <v>43861</v>
      </c>
      <c r="S31" s="3" t="n">
        <v>9.14</v>
      </c>
      <c r="T31" s="3" t="n">
        <v>0.625176</v>
      </c>
      <c r="U31" s="3" t="n">
        <v>0.250436</v>
      </c>
      <c r="V31" s="1" t="n">
        <v>292</v>
      </c>
      <c r="W31" s="2" t="n">
        <v>43861</v>
      </c>
      <c r="X31" s="4" t="n">
        <v>29.9</v>
      </c>
      <c r="Y31" s="1" t="n">
        <v>19.6</v>
      </c>
      <c r="Z31" s="1" t="n">
        <v>19</v>
      </c>
      <c r="AA31" s="1" t="n">
        <v>50</v>
      </c>
      <c r="AB31" s="4" t="n">
        <v>15.3</v>
      </c>
      <c r="AC31" s="4" t="n">
        <v>6.2</v>
      </c>
      <c r="AD31" s="1" t="n">
        <v>93</v>
      </c>
      <c r="AE31" s="1" t="n">
        <v>25.63</v>
      </c>
    </row>
    <row r="32" customFormat="false" ht="13.5" hidden="false" customHeight="false" outlineLevel="0" collapsed="false">
      <c r="A32" s="1" t="s">
        <v>217</v>
      </c>
      <c r="B32" s="1" t="s">
        <v>31</v>
      </c>
      <c r="C32" s="1" t="s">
        <v>218</v>
      </c>
      <c r="D32" s="1" t="s">
        <v>33</v>
      </c>
      <c r="E32" s="1" t="n">
        <v>3</v>
      </c>
      <c r="F32" s="1" t="s">
        <v>187</v>
      </c>
      <c r="G32" s="1" t="s">
        <v>31</v>
      </c>
      <c r="H32" s="1" t="s">
        <v>219</v>
      </c>
      <c r="I32" s="2" t="n">
        <v>43863</v>
      </c>
      <c r="J32" s="2" t="n">
        <v>43865</v>
      </c>
      <c r="K32" s="2" t="n">
        <v>43866</v>
      </c>
      <c r="L32" s="2" t="n">
        <v>43866</v>
      </c>
      <c r="M32" s="2" t="n">
        <v>43866</v>
      </c>
      <c r="N32" s="2" t="n">
        <v>43884</v>
      </c>
      <c r="O32" s="1" t="n">
        <v>1</v>
      </c>
      <c r="P32" s="1" t="n">
        <v>70</v>
      </c>
      <c r="Q32" s="1" t="n">
        <v>24.38237298</v>
      </c>
      <c r="R32" s="2" t="n">
        <v>43865</v>
      </c>
      <c r="S32" s="3" t="n">
        <v>6.22</v>
      </c>
      <c r="T32" s="3" t="n">
        <v>0.430424</v>
      </c>
      <c r="U32" s="3" t="n">
        <v>0.21148</v>
      </c>
      <c r="V32" s="1" t="n">
        <v>191</v>
      </c>
      <c r="W32" s="2" t="n">
        <v>43865</v>
      </c>
      <c r="X32" s="4" t="n">
        <v>64.8</v>
      </c>
      <c r="Y32" s="1" t="n">
        <v>30</v>
      </c>
      <c r="Z32" s="1" t="n">
        <v>38</v>
      </c>
      <c r="AA32" s="1" t="n">
        <v>46</v>
      </c>
      <c r="AB32" s="4" t="n">
        <v>11.3</v>
      </c>
      <c r="AC32" s="4" t="n">
        <v>4.7</v>
      </c>
      <c r="AD32" s="1" t="n">
        <v>85</v>
      </c>
      <c r="AE32" s="1" t="n">
        <v>15.31</v>
      </c>
    </row>
    <row r="33" customFormat="false" ht="13.5" hidden="false" customHeight="false" outlineLevel="0" collapsed="false">
      <c r="A33" s="1" t="s">
        <v>220</v>
      </c>
      <c r="B33" s="1" t="s">
        <v>31</v>
      </c>
      <c r="C33" s="1" t="s">
        <v>221</v>
      </c>
      <c r="D33" s="1" t="s">
        <v>33</v>
      </c>
      <c r="E33" s="1" t="n">
        <v>3</v>
      </c>
      <c r="F33" s="1" t="s">
        <v>187</v>
      </c>
      <c r="G33" s="1" t="s">
        <v>31</v>
      </c>
      <c r="H33" s="1" t="s">
        <v>222</v>
      </c>
      <c r="I33" s="2" t="n">
        <v>43854</v>
      </c>
      <c r="J33" s="2" t="n">
        <v>43862</v>
      </c>
      <c r="K33" s="2" t="n">
        <v>43862</v>
      </c>
      <c r="L33" s="2" t="n">
        <v>43863</v>
      </c>
      <c r="M33" s="2" t="n">
        <v>43863</v>
      </c>
      <c r="N33" s="2" t="n">
        <v>43873</v>
      </c>
      <c r="O33" s="1" t="n">
        <v>0</v>
      </c>
      <c r="P33" s="1" t="n">
        <v>64</v>
      </c>
      <c r="Q33" s="1" t="n">
        <v>21.05170826</v>
      </c>
      <c r="R33" s="2" t="n">
        <v>43862</v>
      </c>
      <c r="S33" s="3" t="n">
        <v>12.89</v>
      </c>
      <c r="T33" s="3" t="n">
        <v>0.378966</v>
      </c>
      <c r="U33" s="3" t="n">
        <v>0.494976</v>
      </c>
      <c r="V33" s="1" t="n">
        <v>247</v>
      </c>
      <c r="W33" s="2" t="n">
        <v>43863</v>
      </c>
      <c r="X33" s="4" t="n">
        <v>63.5</v>
      </c>
      <c r="Y33" s="1" t="n">
        <v>12.1</v>
      </c>
      <c r="Z33" s="1" t="n">
        <v>15</v>
      </c>
      <c r="AA33" s="1" t="n">
        <v>24</v>
      </c>
      <c r="AB33" s="4" t="n">
        <v>17.7</v>
      </c>
      <c r="AC33" s="4" t="n">
        <v>6.7</v>
      </c>
      <c r="AD33" s="1" t="n">
        <v>67</v>
      </c>
      <c r="AE33" s="1" t="n">
        <v>8.47</v>
      </c>
    </row>
    <row r="34" customFormat="false" ht="13.5" hidden="false" customHeight="false" outlineLevel="0" collapsed="false">
      <c r="A34" s="1" t="s">
        <v>223</v>
      </c>
      <c r="B34" s="1" t="s">
        <v>31</v>
      </c>
      <c r="C34" s="1" t="s">
        <v>224</v>
      </c>
      <c r="D34" s="1" t="s">
        <v>33</v>
      </c>
      <c r="E34" s="1" t="n">
        <v>3</v>
      </c>
      <c r="F34" s="1" t="s">
        <v>187</v>
      </c>
      <c r="G34" s="1" t="s">
        <v>31</v>
      </c>
      <c r="H34" s="1" t="s">
        <v>225</v>
      </c>
      <c r="I34" s="2" t="n">
        <v>43854</v>
      </c>
      <c r="J34" s="2" t="n">
        <v>43863</v>
      </c>
      <c r="K34" s="2" t="n">
        <v>43863</v>
      </c>
      <c r="L34" s="2" t="n">
        <v>43864</v>
      </c>
      <c r="M34" s="2" t="n">
        <v>43864</v>
      </c>
      <c r="N34" s="2" t="n">
        <v>43899</v>
      </c>
      <c r="O34" s="1" t="n">
        <v>1</v>
      </c>
      <c r="P34" s="1" t="n">
        <v>75</v>
      </c>
      <c r="Q34" s="1" t="n">
        <v>24.4646016</v>
      </c>
      <c r="R34" s="2" t="n">
        <v>43864</v>
      </c>
      <c r="S34" s="3" t="n">
        <v>6.77</v>
      </c>
      <c r="T34" s="3" t="n">
        <v>0.679708</v>
      </c>
      <c r="U34" s="3" t="n">
        <v>0.469838</v>
      </c>
      <c r="V34" s="1" t="n">
        <v>234</v>
      </c>
      <c r="W34" s="2" t="n">
        <v>43864</v>
      </c>
      <c r="X34" s="4" t="n">
        <v>101.89</v>
      </c>
      <c r="Y34" s="1" t="n">
        <v>37</v>
      </c>
      <c r="Z34" s="1" t="n">
        <v>77</v>
      </c>
      <c r="AA34" s="1" t="n">
        <v>78</v>
      </c>
      <c r="AB34" s="4" t="n">
        <v>11</v>
      </c>
      <c r="AC34" s="4" t="n">
        <v>3.8</v>
      </c>
      <c r="AD34" s="1" t="n">
        <v>76</v>
      </c>
      <c r="AE34" s="1" t="n">
        <v>4.58</v>
      </c>
    </row>
    <row r="35" customFormat="false" ht="13.5" hidden="false" customHeight="false" outlineLevel="0" collapsed="false">
      <c r="A35" s="1" t="s">
        <v>226</v>
      </c>
      <c r="B35" s="1" t="s">
        <v>31</v>
      </c>
      <c r="C35" s="1" t="s">
        <v>227</v>
      </c>
      <c r="D35" s="1" t="s">
        <v>33</v>
      </c>
      <c r="E35" s="1" t="n">
        <v>3</v>
      </c>
      <c r="F35" s="1" t="s">
        <v>187</v>
      </c>
      <c r="G35" s="1" t="s">
        <v>31</v>
      </c>
      <c r="H35" s="1" t="s">
        <v>228</v>
      </c>
      <c r="I35" s="2" t="n">
        <v>43862</v>
      </c>
      <c r="J35" s="2" t="n">
        <v>43864</v>
      </c>
      <c r="K35" s="2" t="n">
        <v>43869</v>
      </c>
      <c r="L35" s="2" t="n">
        <v>43865</v>
      </c>
      <c r="M35" s="2" t="n">
        <v>43865</v>
      </c>
      <c r="N35" s="2" t="n">
        <v>43882</v>
      </c>
      <c r="O35" s="1" t="n">
        <v>1</v>
      </c>
      <c r="P35" s="1" t="n">
        <v>51</v>
      </c>
      <c r="Q35" s="1" t="n">
        <v>23.42209073</v>
      </c>
      <c r="R35" s="2" t="n">
        <v>43864</v>
      </c>
      <c r="S35" s="3" t="n">
        <v>8.77</v>
      </c>
      <c r="T35" s="3" t="n">
        <v>2.56084</v>
      </c>
      <c r="U35" s="3" t="n">
        <v>0.42096</v>
      </c>
      <c r="V35" s="1" t="n">
        <v>158</v>
      </c>
      <c r="W35" s="2" t="n">
        <v>43864</v>
      </c>
      <c r="X35" s="4" t="n">
        <v>15</v>
      </c>
      <c r="Y35" s="1" t="n">
        <v>34.7</v>
      </c>
      <c r="Z35" s="1" t="n">
        <v>31</v>
      </c>
      <c r="AA35" s="1" t="n">
        <v>64</v>
      </c>
      <c r="AB35" s="4" t="n">
        <v>25.9</v>
      </c>
      <c r="AC35" s="4" t="n">
        <v>9.9</v>
      </c>
      <c r="AD35" s="1" t="n">
        <v>89</v>
      </c>
      <c r="AE35" s="1" t="n">
        <v>7.79</v>
      </c>
    </row>
    <row r="36" customFormat="false" ht="13.5" hidden="false" customHeight="false" outlineLevel="0" collapsed="false">
      <c r="A36" s="1" t="s">
        <v>229</v>
      </c>
      <c r="B36" s="1" t="s">
        <v>54</v>
      </c>
      <c r="C36" s="1" t="s">
        <v>33</v>
      </c>
      <c r="D36" s="1" t="s">
        <v>33</v>
      </c>
      <c r="E36" s="1" t="n">
        <v>3</v>
      </c>
      <c r="F36" s="1" t="s">
        <v>33</v>
      </c>
      <c r="G36" s="1" t="s">
        <v>31</v>
      </c>
      <c r="H36" s="1" t="s">
        <v>230</v>
      </c>
      <c r="I36" s="2" t="n">
        <v>43839</v>
      </c>
      <c r="J36" s="2" t="n">
        <v>43849</v>
      </c>
      <c r="K36" s="2" t="n">
        <v>43849</v>
      </c>
      <c r="L36" s="2" t="n">
        <v>43849</v>
      </c>
      <c r="M36" s="2" t="s">
        <v>33</v>
      </c>
      <c r="N36" s="2" t="n">
        <v>43882</v>
      </c>
      <c r="O36" s="1" t="n">
        <v>0</v>
      </c>
      <c r="P36" s="1" t="n">
        <v>55</v>
      </c>
      <c r="Q36" s="1" t="n">
        <v>22.58270917</v>
      </c>
      <c r="R36" s="2" t="n">
        <v>43850</v>
      </c>
      <c r="S36" s="3" t="n">
        <v>6.9</v>
      </c>
      <c r="T36" s="3" t="n">
        <v>0.3726</v>
      </c>
      <c r="U36" s="3" t="n">
        <v>0.1242</v>
      </c>
      <c r="V36" s="1" t="n">
        <v>125</v>
      </c>
      <c r="W36" s="2" t="n">
        <v>43850</v>
      </c>
      <c r="X36" s="4" t="n">
        <v>185</v>
      </c>
      <c r="Y36" s="1" t="n">
        <v>20</v>
      </c>
      <c r="Z36" s="1" t="n">
        <v>64</v>
      </c>
      <c r="AA36" s="1" t="n">
        <v>37</v>
      </c>
      <c r="AB36" s="4" t="n">
        <v>6.1</v>
      </c>
      <c r="AC36" s="4" t="n">
        <v>2.7</v>
      </c>
      <c r="AD36" s="1" t="n">
        <v>62</v>
      </c>
      <c r="AE36" s="1" t="n">
        <v>7.05</v>
      </c>
    </row>
    <row r="37" customFormat="false" ht="13.5" hidden="false" customHeight="false" outlineLevel="0" collapsed="false">
      <c r="A37" s="1" t="s">
        <v>231</v>
      </c>
      <c r="B37" s="1" t="s">
        <v>31</v>
      </c>
      <c r="C37" s="1" t="s">
        <v>232</v>
      </c>
      <c r="D37" s="1" t="s">
        <v>33</v>
      </c>
      <c r="E37" s="1" t="n">
        <v>3</v>
      </c>
      <c r="F37" s="1" t="s">
        <v>187</v>
      </c>
      <c r="G37" s="1" t="s">
        <v>31</v>
      </c>
      <c r="H37" s="1" t="s">
        <v>233</v>
      </c>
      <c r="I37" s="2" t="n">
        <v>43857</v>
      </c>
      <c r="J37" s="2" t="n">
        <v>43862</v>
      </c>
      <c r="K37" s="2" t="n">
        <v>43865</v>
      </c>
      <c r="L37" s="2" t="n">
        <v>43863</v>
      </c>
      <c r="M37" s="2" t="n">
        <v>43863</v>
      </c>
      <c r="N37" s="2" t="n">
        <v>43892</v>
      </c>
      <c r="O37" s="1" t="n">
        <v>0</v>
      </c>
      <c r="P37" s="1" t="n">
        <v>52</v>
      </c>
      <c r="Q37" s="1" t="n">
        <v>24.67550027</v>
      </c>
      <c r="R37" s="2" t="n">
        <v>43862</v>
      </c>
      <c r="S37" s="3" t="n">
        <v>3.91</v>
      </c>
      <c r="T37" s="3" t="n">
        <v>0.982974</v>
      </c>
      <c r="U37" s="3" t="n">
        <v>0.200974</v>
      </c>
      <c r="V37" s="1" t="n">
        <v>175</v>
      </c>
      <c r="W37" s="2" t="n">
        <v>43862</v>
      </c>
      <c r="X37" s="4" t="n">
        <v>17.9</v>
      </c>
      <c r="Y37" s="1" t="n">
        <v>29.4</v>
      </c>
      <c r="Z37" s="1" t="n">
        <v>29</v>
      </c>
      <c r="AA37" s="1" t="n">
        <v>27</v>
      </c>
      <c r="AB37" s="4" t="n">
        <v>15.5</v>
      </c>
      <c r="AC37" s="4" t="n">
        <v>6.5</v>
      </c>
      <c r="AD37" s="1" t="n">
        <v>63</v>
      </c>
      <c r="AE37" s="1" t="n">
        <v>7.35</v>
      </c>
    </row>
    <row r="38" customFormat="false" ht="13.5" hidden="false" customHeight="false" outlineLevel="0" collapsed="false">
      <c r="A38" s="1" t="s">
        <v>313</v>
      </c>
      <c r="B38" s="1" t="s">
        <v>31</v>
      </c>
      <c r="C38" s="1" t="s">
        <v>314</v>
      </c>
      <c r="D38" s="1" t="s">
        <v>33</v>
      </c>
      <c r="E38" s="1" t="n">
        <v>2</v>
      </c>
      <c r="F38" s="1" t="s">
        <v>236</v>
      </c>
      <c r="G38" s="1" t="s">
        <v>31</v>
      </c>
      <c r="H38" s="1" t="s">
        <v>315</v>
      </c>
      <c r="I38" s="2" t="n">
        <v>43858</v>
      </c>
      <c r="J38" s="2" t="n">
        <v>43861</v>
      </c>
      <c r="K38" s="1" t="s">
        <v>33</v>
      </c>
      <c r="L38" s="2" t="n">
        <v>43862</v>
      </c>
      <c r="M38" s="2" t="n">
        <v>43862</v>
      </c>
      <c r="N38" s="2" t="n">
        <v>43873</v>
      </c>
      <c r="O38" s="1" t="n">
        <v>1</v>
      </c>
      <c r="P38" s="1" t="n">
        <v>60</v>
      </c>
      <c r="Q38" s="1" t="n">
        <v>28.9007795</v>
      </c>
      <c r="R38" s="2" t="n">
        <v>43861</v>
      </c>
      <c r="S38" s="3" t="n">
        <v>5.03</v>
      </c>
      <c r="T38" s="3" t="n">
        <v>1.34804</v>
      </c>
      <c r="U38" s="3" t="n">
        <v>0.37222</v>
      </c>
      <c r="V38" s="1" t="n">
        <v>209</v>
      </c>
      <c r="W38" s="2" t="n">
        <v>43861</v>
      </c>
      <c r="X38" s="4" t="n">
        <v>0.5</v>
      </c>
      <c r="Y38" s="1" t="n">
        <v>32.6</v>
      </c>
      <c r="Z38" s="1" t="n">
        <v>26</v>
      </c>
      <c r="AA38" s="1" t="n">
        <v>18</v>
      </c>
      <c r="AB38" s="4" t="n">
        <v>27</v>
      </c>
      <c r="AC38" s="4" t="n">
        <v>9.6</v>
      </c>
      <c r="AD38" s="1" t="n">
        <v>75</v>
      </c>
      <c r="AE38" s="1" t="n">
        <v>4.47</v>
      </c>
    </row>
    <row r="39" customFormat="false" ht="13.5" hidden="false" customHeight="false" outlineLevel="0" collapsed="false">
      <c r="A39" s="1" t="s">
        <v>316</v>
      </c>
      <c r="B39" s="1" t="s">
        <v>31</v>
      </c>
      <c r="C39" s="1" t="s">
        <v>317</v>
      </c>
      <c r="D39" s="1" t="s">
        <v>33</v>
      </c>
      <c r="E39" s="1" t="n">
        <v>2</v>
      </c>
      <c r="F39" s="1" t="s">
        <v>236</v>
      </c>
      <c r="G39" s="1" t="s">
        <v>31</v>
      </c>
      <c r="H39" s="1" t="s">
        <v>318</v>
      </c>
      <c r="I39" s="2" t="n">
        <v>43852</v>
      </c>
      <c r="J39" s="2" t="n">
        <v>43856</v>
      </c>
      <c r="K39" s="1" t="s">
        <v>33</v>
      </c>
      <c r="L39" s="2" t="n">
        <v>43857</v>
      </c>
      <c r="M39" s="2" t="n">
        <v>43868</v>
      </c>
      <c r="N39" s="2" t="n">
        <v>43876</v>
      </c>
      <c r="O39" s="1" t="n">
        <v>0</v>
      </c>
      <c r="P39" s="1" t="n">
        <v>45</v>
      </c>
      <c r="Q39" s="1" t="n">
        <v>21.85491276</v>
      </c>
      <c r="R39" s="2" t="n">
        <v>43856</v>
      </c>
      <c r="S39" s="3" t="n">
        <v>6.8</v>
      </c>
      <c r="T39" s="3" t="n">
        <v>1.7272</v>
      </c>
      <c r="U39" s="3" t="n">
        <v>0.4216</v>
      </c>
      <c r="V39" s="1" t="n">
        <v>261</v>
      </c>
      <c r="W39" s="2" t="n">
        <v>43856</v>
      </c>
      <c r="X39" s="4" t="n">
        <v>9.37</v>
      </c>
      <c r="Y39" s="1" t="n">
        <v>13</v>
      </c>
      <c r="Z39" s="1" t="n">
        <v>21</v>
      </c>
      <c r="AA39" s="1" t="n">
        <v>16</v>
      </c>
      <c r="AB39" s="4" t="n">
        <v>4</v>
      </c>
      <c r="AC39" s="4" t="n">
        <v>0.8</v>
      </c>
      <c r="AD39" s="1" t="n">
        <v>59</v>
      </c>
      <c r="AE39" s="1" t="n">
        <v>6.19</v>
      </c>
    </row>
    <row r="40" customFormat="false" ht="13.5" hidden="false" customHeight="false" outlineLevel="0" collapsed="false">
      <c r="A40" s="1" t="s">
        <v>319</v>
      </c>
      <c r="B40" s="1" t="s">
        <v>31</v>
      </c>
      <c r="C40" s="1" t="s">
        <v>320</v>
      </c>
      <c r="D40" s="1" t="s">
        <v>33</v>
      </c>
      <c r="E40" s="1" t="n">
        <v>2</v>
      </c>
      <c r="F40" s="1" t="s">
        <v>236</v>
      </c>
      <c r="G40" s="1" t="s">
        <v>31</v>
      </c>
      <c r="H40" s="1" t="s">
        <v>321</v>
      </c>
      <c r="I40" s="2" t="n">
        <v>43842</v>
      </c>
      <c r="J40" s="2" t="n">
        <v>43856</v>
      </c>
      <c r="K40" s="1" t="s">
        <v>33</v>
      </c>
      <c r="L40" s="2" t="n">
        <v>43856</v>
      </c>
      <c r="M40" s="2" t="n">
        <v>43856</v>
      </c>
      <c r="N40" s="2" t="n">
        <v>43894</v>
      </c>
      <c r="O40" s="1" t="n">
        <v>1</v>
      </c>
      <c r="P40" s="1" t="n">
        <v>43</v>
      </c>
      <c r="Q40" s="1" t="n">
        <v>20.76124567</v>
      </c>
      <c r="R40" s="2" t="n">
        <v>43856</v>
      </c>
      <c r="S40" s="3" t="n">
        <v>8.17</v>
      </c>
      <c r="T40" s="3" t="n">
        <v>2.6</v>
      </c>
      <c r="U40" s="3" t="n">
        <v>1</v>
      </c>
      <c r="V40" s="1" t="n">
        <v>248</v>
      </c>
      <c r="W40" s="2" t="n">
        <v>43856</v>
      </c>
      <c r="X40" s="4" t="n">
        <v>26.41</v>
      </c>
      <c r="Y40" s="1" t="n">
        <v>23.1</v>
      </c>
      <c r="Z40" s="1" t="n">
        <v>23</v>
      </c>
      <c r="AA40" s="1" t="n">
        <v>23</v>
      </c>
      <c r="AB40" s="4" t="n">
        <v>31.3</v>
      </c>
      <c r="AC40" s="4" t="n">
        <v>11.1</v>
      </c>
      <c r="AD40" s="1" t="n">
        <v>89</v>
      </c>
      <c r="AE40" s="1" t="n">
        <v>12.86</v>
      </c>
    </row>
    <row r="41" customFormat="false" ht="13.5" hidden="false" customHeight="false" outlineLevel="0" collapsed="false">
      <c r="A41" s="1" t="s">
        <v>322</v>
      </c>
      <c r="B41" s="1" t="s">
        <v>31</v>
      </c>
      <c r="C41" s="1" t="s">
        <v>323</v>
      </c>
      <c r="D41" s="1" t="s">
        <v>33</v>
      </c>
      <c r="E41" s="1" t="n">
        <v>2</v>
      </c>
      <c r="F41" s="1" t="s">
        <v>236</v>
      </c>
      <c r="G41" s="1" t="s">
        <v>31</v>
      </c>
      <c r="H41" s="1" t="s">
        <v>324</v>
      </c>
      <c r="I41" s="2" t="n">
        <v>43860</v>
      </c>
      <c r="J41" s="2" t="n">
        <v>43863</v>
      </c>
      <c r="K41" s="1" t="s">
        <v>33</v>
      </c>
      <c r="L41" s="2" t="n">
        <v>43864</v>
      </c>
      <c r="M41" s="2" t="n">
        <v>43864</v>
      </c>
      <c r="N41" s="2" t="n">
        <v>43884</v>
      </c>
      <c r="O41" s="1" t="n">
        <v>1</v>
      </c>
      <c r="P41" s="1" t="n">
        <v>44</v>
      </c>
      <c r="Q41" s="1" t="n">
        <v>22.83737024</v>
      </c>
      <c r="R41" s="2" t="n">
        <v>43863</v>
      </c>
      <c r="S41" s="3" t="n">
        <v>5.97</v>
      </c>
      <c r="T41" s="3" t="n">
        <v>2.282928</v>
      </c>
      <c r="U41" s="3" t="n">
        <v>0.641178</v>
      </c>
      <c r="V41" s="1" t="n">
        <v>137</v>
      </c>
      <c r="W41" s="2" t="n">
        <v>43863</v>
      </c>
      <c r="X41" s="4" t="n">
        <v>1.7</v>
      </c>
      <c r="Y41" s="1" t="n">
        <v>20.9</v>
      </c>
      <c r="Z41" s="1" t="n">
        <v>20</v>
      </c>
      <c r="AA41" s="1" t="n">
        <v>22</v>
      </c>
      <c r="AB41" s="4" t="n">
        <v>14.9</v>
      </c>
      <c r="AC41" s="4" t="n">
        <v>5.9</v>
      </c>
      <c r="AD41" s="1" t="n">
        <v>70</v>
      </c>
      <c r="AE41" s="1" t="n">
        <v>7.59</v>
      </c>
    </row>
    <row r="42" customFormat="false" ht="13.5" hidden="false" customHeight="false" outlineLevel="0" collapsed="false">
      <c r="A42" s="1" t="s">
        <v>325</v>
      </c>
      <c r="B42" s="1" t="s">
        <v>31</v>
      </c>
      <c r="C42" s="1" t="s">
        <v>326</v>
      </c>
      <c r="D42" s="1" t="s">
        <v>33</v>
      </c>
      <c r="E42" s="1" t="n">
        <v>2</v>
      </c>
      <c r="F42" s="1" t="s">
        <v>236</v>
      </c>
      <c r="G42" s="1" t="s">
        <v>31</v>
      </c>
      <c r="H42" s="1" t="s">
        <v>327</v>
      </c>
      <c r="I42" s="2" t="n">
        <v>43862</v>
      </c>
      <c r="J42" s="2" t="n">
        <v>43863</v>
      </c>
      <c r="K42" s="1" t="s">
        <v>33</v>
      </c>
      <c r="L42" s="2" t="n">
        <v>43864</v>
      </c>
      <c r="M42" s="2" t="n">
        <v>43864</v>
      </c>
      <c r="N42" s="2" t="n">
        <v>43900</v>
      </c>
      <c r="O42" s="1" t="n">
        <v>0</v>
      </c>
      <c r="P42" s="1" t="n">
        <v>56</v>
      </c>
      <c r="Q42" s="1" t="n">
        <v>20.44913742</v>
      </c>
      <c r="R42" s="2" t="n">
        <v>43863</v>
      </c>
      <c r="S42" s="3" t="n">
        <v>4.01</v>
      </c>
      <c r="T42" s="3" t="n">
        <v>1.2</v>
      </c>
      <c r="U42" s="3" t="n">
        <v>0.4191</v>
      </c>
      <c r="V42" s="1" t="n">
        <v>206</v>
      </c>
      <c r="W42" s="2" t="n">
        <v>43863</v>
      </c>
      <c r="X42" s="4" t="n">
        <v>1.7</v>
      </c>
      <c r="Y42" s="1" t="n">
        <v>31.2</v>
      </c>
      <c r="Z42" s="1" t="n">
        <v>41</v>
      </c>
      <c r="AA42" s="1" t="n">
        <v>14</v>
      </c>
      <c r="AB42" s="4" t="n">
        <v>5.2</v>
      </c>
      <c r="AC42" s="4" t="n">
        <v>2.2</v>
      </c>
      <c r="AD42" s="1" t="n">
        <v>65</v>
      </c>
      <c r="AE42" s="1" t="n">
        <v>8.72</v>
      </c>
    </row>
    <row r="43" customFormat="false" ht="13.5" hidden="false" customHeight="false" outlineLevel="0" collapsed="false">
      <c r="A43" s="1" t="s">
        <v>328</v>
      </c>
      <c r="B43" s="1" t="s">
        <v>31</v>
      </c>
      <c r="C43" s="1" t="s">
        <v>329</v>
      </c>
      <c r="D43" s="1" t="s">
        <v>33</v>
      </c>
      <c r="E43" s="1" t="n">
        <v>2</v>
      </c>
      <c r="F43" s="1" t="s">
        <v>236</v>
      </c>
      <c r="G43" s="1" t="s">
        <v>31</v>
      </c>
      <c r="H43" s="1" t="s">
        <v>330</v>
      </c>
      <c r="I43" s="2" t="n">
        <v>43856</v>
      </c>
      <c r="J43" s="2" t="n">
        <v>43861</v>
      </c>
      <c r="K43" s="1" t="s">
        <v>33</v>
      </c>
      <c r="L43" s="2" t="n">
        <v>43864</v>
      </c>
      <c r="M43" s="2" t="n">
        <v>43864</v>
      </c>
      <c r="N43" s="2" t="n">
        <v>43869</v>
      </c>
      <c r="O43" s="1" t="n">
        <v>1</v>
      </c>
      <c r="P43" s="1" t="n">
        <v>43</v>
      </c>
      <c r="Q43" s="1" t="n">
        <v>26.81359045</v>
      </c>
      <c r="R43" s="2" t="n">
        <v>43861</v>
      </c>
      <c r="S43" s="3" t="n">
        <v>5.08</v>
      </c>
      <c r="T43" s="3" t="n">
        <v>0.773176</v>
      </c>
      <c r="U43" s="3" t="n">
        <v>0.52832</v>
      </c>
      <c r="V43" s="3" t="n">
        <v>183</v>
      </c>
      <c r="W43" s="2" t="n">
        <v>43861</v>
      </c>
      <c r="X43" s="3" t="n">
        <v>45.3</v>
      </c>
      <c r="Y43" s="3" t="n">
        <v>43.8</v>
      </c>
      <c r="Z43" s="3" t="n">
        <v>31</v>
      </c>
      <c r="AA43" s="3" t="n">
        <v>49</v>
      </c>
      <c r="AB43" s="3" t="n">
        <v>36.5</v>
      </c>
      <c r="AC43" s="3" t="n">
        <v>16.2</v>
      </c>
      <c r="AD43" s="3" t="n">
        <v>71</v>
      </c>
      <c r="AE43" s="1" t="n">
        <v>5.4</v>
      </c>
    </row>
    <row r="44" customFormat="false" ht="13.5" hidden="false" customHeight="false" outlineLevel="0" collapsed="false">
      <c r="A44" s="1" t="s">
        <v>234</v>
      </c>
      <c r="B44" s="1" t="s">
        <v>31</v>
      </c>
      <c r="C44" s="1" t="s">
        <v>235</v>
      </c>
      <c r="D44" s="1" t="s">
        <v>33</v>
      </c>
      <c r="E44" s="1" t="n">
        <v>3</v>
      </c>
      <c r="F44" s="1" t="s">
        <v>236</v>
      </c>
      <c r="G44" s="1" t="s">
        <v>31</v>
      </c>
      <c r="H44" s="1" t="s">
        <v>237</v>
      </c>
      <c r="I44" s="2" t="n">
        <v>43854</v>
      </c>
      <c r="J44" s="2" t="n">
        <v>43862</v>
      </c>
      <c r="K44" s="2" t="n">
        <v>43865</v>
      </c>
      <c r="L44" s="2" t="n">
        <v>43863</v>
      </c>
      <c r="M44" s="2" t="n">
        <v>43863</v>
      </c>
      <c r="N44" s="2" t="n">
        <v>43888</v>
      </c>
      <c r="O44" s="1" t="n">
        <v>1</v>
      </c>
      <c r="P44" s="1" t="n">
        <v>55</v>
      </c>
      <c r="Q44" s="1" t="n">
        <v>24.91349481</v>
      </c>
      <c r="R44" s="2" t="n">
        <v>43862</v>
      </c>
      <c r="S44" s="3" t="n">
        <v>6.08</v>
      </c>
      <c r="T44" s="3" t="n">
        <v>0.652992</v>
      </c>
      <c r="U44" s="3" t="n">
        <v>0.330752</v>
      </c>
      <c r="V44" s="1" t="n">
        <v>138</v>
      </c>
      <c r="W44" s="2" t="n">
        <v>43862</v>
      </c>
      <c r="X44" s="4" t="n">
        <v>89.8</v>
      </c>
      <c r="Y44" s="1" t="n">
        <v>44</v>
      </c>
      <c r="Z44" s="1" t="n">
        <v>61</v>
      </c>
      <c r="AA44" s="1" t="n">
        <v>32</v>
      </c>
      <c r="AB44" s="4" t="n">
        <v>20.9</v>
      </c>
      <c r="AC44" s="4" t="n">
        <v>8.5</v>
      </c>
      <c r="AD44" s="1" t="n">
        <v>142</v>
      </c>
      <c r="AE44" s="1" t="n">
        <v>21.37</v>
      </c>
    </row>
    <row r="45" customFormat="false" ht="13.5" hidden="false" customHeight="false" outlineLevel="0" collapsed="false">
      <c r="A45" s="1" t="s">
        <v>238</v>
      </c>
      <c r="B45" s="1" t="s">
        <v>31</v>
      </c>
      <c r="C45" s="1" t="s">
        <v>239</v>
      </c>
      <c r="D45" s="1" t="s">
        <v>33</v>
      </c>
      <c r="E45" s="1" t="n">
        <v>3</v>
      </c>
      <c r="F45" s="1" t="s">
        <v>236</v>
      </c>
      <c r="G45" s="1" t="s">
        <v>31</v>
      </c>
      <c r="H45" s="1" t="s">
        <v>240</v>
      </c>
      <c r="I45" s="2" t="n">
        <v>43854</v>
      </c>
      <c r="J45" s="2" t="n">
        <v>43862</v>
      </c>
      <c r="K45" s="2" t="n">
        <v>43865</v>
      </c>
      <c r="L45" s="2" t="n">
        <v>43863</v>
      </c>
      <c r="M45" s="2" t="n">
        <v>43863</v>
      </c>
      <c r="N45" s="2" t="n">
        <v>43895</v>
      </c>
      <c r="O45" s="1" t="n">
        <v>0</v>
      </c>
      <c r="P45" s="1" t="n">
        <v>65</v>
      </c>
      <c r="Q45" s="1" t="n">
        <v>24.08822312</v>
      </c>
      <c r="R45" s="2" t="n">
        <v>43865</v>
      </c>
      <c r="S45" s="3" t="n">
        <v>6.13</v>
      </c>
      <c r="T45" s="3" t="n">
        <v>0.462202</v>
      </c>
      <c r="U45" s="3" t="n">
        <v>0.210872</v>
      </c>
      <c r="V45" s="1" t="n">
        <v>124</v>
      </c>
      <c r="W45" s="2" t="n">
        <v>43865</v>
      </c>
      <c r="X45" s="4" t="n">
        <v>173.9</v>
      </c>
      <c r="Y45" s="1" t="n">
        <v>63.1</v>
      </c>
      <c r="Z45" s="1" t="n">
        <v>85</v>
      </c>
      <c r="AA45" s="1" t="n">
        <v>76</v>
      </c>
      <c r="AB45" s="4" t="n">
        <v>17.3</v>
      </c>
      <c r="AC45" s="4" t="n">
        <v>7.5</v>
      </c>
      <c r="AD45" s="1" t="n">
        <v>169</v>
      </c>
      <c r="AE45" s="1" t="n">
        <v>8.63</v>
      </c>
    </row>
    <row r="46" customFormat="false" ht="13.5" hidden="false" customHeight="false" outlineLevel="0" collapsed="false">
      <c r="A46" s="1" t="s">
        <v>241</v>
      </c>
      <c r="B46" s="1" t="s">
        <v>31</v>
      </c>
      <c r="C46" s="1" t="s">
        <v>242</v>
      </c>
      <c r="D46" s="1" t="s">
        <v>33</v>
      </c>
      <c r="E46" s="1" t="n">
        <v>3</v>
      </c>
      <c r="F46" s="1" t="s">
        <v>236</v>
      </c>
      <c r="G46" s="1" t="s">
        <v>31</v>
      </c>
      <c r="H46" s="1" t="s">
        <v>243</v>
      </c>
      <c r="I46" s="2" t="n">
        <v>43840</v>
      </c>
      <c r="J46" s="2" t="n">
        <v>43863</v>
      </c>
      <c r="K46" s="2" t="n">
        <v>43865</v>
      </c>
      <c r="L46" s="2" t="n">
        <v>43864</v>
      </c>
      <c r="M46" s="2" t="n">
        <v>43864</v>
      </c>
      <c r="N46" s="2" t="n">
        <v>43884</v>
      </c>
      <c r="O46" s="1" t="n">
        <v>1</v>
      </c>
      <c r="P46" s="1" t="n">
        <v>62</v>
      </c>
      <c r="Q46" s="1" t="s">
        <v>33</v>
      </c>
      <c r="R46" s="2" t="n">
        <v>43863</v>
      </c>
      <c r="S46" s="3" t="n">
        <v>5.62</v>
      </c>
      <c r="T46" s="3" t="n">
        <v>0.900324</v>
      </c>
      <c r="U46" s="3" t="n">
        <v>0.4215</v>
      </c>
      <c r="V46" s="1" t="n">
        <v>123</v>
      </c>
      <c r="W46" s="2" t="n">
        <v>43863</v>
      </c>
      <c r="X46" s="4" t="n">
        <v>7.1</v>
      </c>
      <c r="Y46" s="1" t="n">
        <v>53.2</v>
      </c>
      <c r="Z46" s="1" t="n">
        <v>57</v>
      </c>
      <c r="AA46" s="1" t="n">
        <v>33</v>
      </c>
      <c r="AB46" s="4" t="n">
        <v>18.8</v>
      </c>
      <c r="AC46" s="4" t="n">
        <v>6.8</v>
      </c>
      <c r="AD46" s="1" t="n">
        <v>72</v>
      </c>
      <c r="AE46" s="1" t="n">
        <v>7.31</v>
      </c>
    </row>
    <row r="47" customFormat="false" ht="13.5" hidden="false" customHeight="false" outlineLevel="0" collapsed="false">
      <c r="A47" s="1" t="s">
        <v>244</v>
      </c>
      <c r="B47" s="1" t="s">
        <v>31</v>
      </c>
      <c r="C47" s="1" t="s">
        <v>245</v>
      </c>
      <c r="D47" s="1" t="s">
        <v>33</v>
      </c>
      <c r="E47" s="1" t="n">
        <v>3</v>
      </c>
      <c r="F47" s="1" t="s">
        <v>236</v>
      </c>
      <c r="G47" s="1" t="s">
        <v>31</v>
      </c>
      <c r="H47" s="1" t="s">
        <v>246</v>
      </c>
      <c r="I47" s="2" t="n">
        <v>43851</v>
      </c>
      <c r="J47" s="2" t="n">
        <v>43861</v>
      </c>
      <c r="K47" s="2" t="n">
        <v>43861</v>
      </c>
      <c r="L47" s="2" t="n">
        <v>43863</v>
      </c>
      <c r="M47" s="2" t="n">
        <v>43863</v>
      </c>
      <c r="N47" s="2" t="n">
        <v>43881</v>
      </c>
      <c r="O47" s="1" t="n">
        <v>0</v>
      </c>
      <c r="P47" s="1" t="n">
        <v>59</v>
      </c>
      <c r="Q47" s="1" t="n">
        <v>28.3446712</v>
      </c>
      <c r="R47" s="2" t="n">
        <v>43861</v>
      </c>
      <c r="S47" s="3" t="n">
        <v>23.55</v>
      </c>
      <c r="T47" s="3" t="n">
        <v>0.64527</v>
      </c>
      <c r="U47" s="3" t="n">
        <v>0.69237</v>
      </c>
      <c r="V47" s="1" t="n">
        <v>287</v>
      </c>
      <c r="W47" s="2" t="n">
        <v>43861</v>
      </c>
      <c r="X47" s="4" t="n">
        <v>13</v>
      </c>
      <c r="Y47" s="1" t="n">
        <v>18.5</v>
      </c>
      <c r="Z47" s="1" t="n">
        <v>14</v>
      </c>
      <c r="AA47" s="1" t="n">
        <v>22</v>
      </c>
      <c r="AB47" s="4" t="n">
        <v>16.9</v>
      </c>
      <c r="AC47" s="4" t="n">
        <v>6.3</v>
      </c>
      <c r="AD47" s="1" t="n">
        <v>88</v>
      </c>
      <c r="AE47" s="1" t="n">
        <v>9.84</v>
      </c>
    </row>
    <row r="48" customFormat="false" ht="13.5" hidden="false" customHeight="false" outlineLevel="0" collapsed="false">
      <c r="A48" s="1" t="s">
        <v>331</v>
      </c>
      <c r="B48" s="1" t="s">
        <v>31</v>
      </c>
      <c r="C48" s="1" t="s">
        <v>331</v>
      </c>
      <c r="D48" s="1" t="s">
        <v>33</v>
      </c>
      <c r="E48" s="1" t="n">
        <v>2</v>
      </c>
      <c r="F48" s="1" t="s">
        <v>248</v>
      </c>
      <c r="G48" s="1" t="s">
        <v>31</v>
      </c>
      <c r="H48" s="1" t="s">
        <v>331</v>
      </c>
      <c r="I48" s="2" t="n">
        <v>43861</v>
      </c>
      <c r="J48" s="2" t="n">
        <v>43861</v>
      </c>
      <c r="K48" s="1" t="s">
        <v>33</v>
      </c>
      <c r="L48" s="2" t="n">
        <v>43862</v>
      </c>
      <c r="M48" s="2" t="n">
        <v>43862</v>
      </c>
      <c r="N48" s="2" t="n">
        <v>43901</v>
      </c>
      <c r="O48" s="1" t="n">
        <v>0</v>
      </c>
      <c r="P48" s="1" t="n">
        <v>55</v>
      </c>
      <c r="Q48" s="1" t="n">
        <v>21.71806609</v>
      </c>
      <c r="R48" s="2" t="n">
        <v>43861</v>
      </c>
      <c r="S48" s="3" t="n">
        <v>10</v>
      </c>
      <c r="T48" s="3" t="n">
        <v>1.6</v>
      </c>
      <c r="U48" s="3" t="n">
        <v>0.76</v>
      </c>
      <c r="V48" s="1" t="n">
        <v>290</v>
      </c>
      <c r="W48" s="2" t="n">
        <v>43861</v>
      </c>
      <c r="X48" s="4" t="n">
        <v>1.3</v>
      </c>
      <c r="Y48" s="1" t="n">
        <v>14</v>
      </c>
      <c r="Z48" s="1" t="n">
        <v>20</v>
      </c>
      <c r="AA48" s="1" t="n">
        <v>29</v>
      </c>
      <c r="AB48" s="4" t="n">
        <v>8.6</v>
      </c>
      <c r="AC48" s="4" t="n">
        <v>2.8</v>
      </c>
      <c r="AD48" s="1" t="n">
        <v>66</v>
      </c>
      <c r="AE48" s="1" t="n">
        <v>6.6</v>
      </c>
    </row>
    <row r="49" customFormat="false" ht="13.5" hidden="false" customHeight="false" outlineLevel="0" collapsed="false">
      <c r="A49" s="1" t="s">
        <v>332</v>
      </c>
      <c r="B49" s="1" t="s">
        <v>31</v>
      </c>
      <c r="C49" s="1" t="s">
        <v>332</v>
      </c>
      <c r="D49" s="1" t="s">
        <v>33</v>
      </c>
      <c r="E49" s="1" t="n">
        <v>2</v>
      </c>
      <c r="F49" s="1" t="s">
        <v>248</v>
      </c>
      <c r="G49" s="1" t="s">
        <v>31</v>
      </c>
      <c r="H49" s="1" t="s">
        <v>332</v>
      </c>
      <c r="I49" s="2" t="n">
        <v>43860</v>
      </c>
      <c r="J49" s="2" t="n">
        <v>43862</v>
      </c>
      <c r="K49" s="1" t="s">
        <v>33</v>
      </c>
      <c r="L49" s="2" t="n">
        <v>43863</v>
      </c>
      <c r="M49" s="2" t="n">
        <v>43863</v>
      </c>
      <c r="N49" s="2" t="n">
        <v>43895</v>
      </c>
      <c r="O49" s="1" t="n">
        <v>1</v>
      </c>
      <c r="P49" s="1" t="n">
        <v>18</v>
      </c>
      <c r="Q49" s="1" t="n">
        <v>20.06095444</v>
      </c>
      <c r="R49" s="2" t="n">
        <v>43862</v>
      </c>
      <c r="S49" s="3" t="n">
        <v>6.74</v>
      </c>
      <c r="T49" s="3" t="n">
        <v>1.6</v>
      </c>
      <c r="U49" s="3" t="n">
        <v>0.5</v>
      </c>
      <c r="V49" s="1" t="n">
        <v>215</v>
      </c>
      <c r="W49" s="2" t="n">
        <v>43862</v>
      </c>
      <c r="X49" s="4" t="n">
        <v>0.5</v>
      </c>
      <c r="Y49" s="1" t="n">
        <v>9.6</v>
      </c>
      <c r="Z49" s="1" t="n">
        <v>19</v>
      </c>
      <c r="AA49" s="1" t="n">
        <v>10</v>
      </c>
      <c r="AB49" s="4" t="n">
        <v>11.1</v>
      </c>
      <c r="AC49" s="4" t="n">
        <v>3.9</v>
      </c>
      <c r="AD49" s="1" t="n">
        <v>68</v>
      </c>
      <c r="AE49" s="1" t="n">
        <v>5.61</v>
      </c>
    </row>
    <row r="50" customFormat="false" ht="13.5" hidden="false" customHeight="false" outlineLevel="0" collapsed="false">
      <c r="A50" s="1" t="s">
        <v>333</v>
      </c>
      <c r="B50" s="1" t="s">
        <v>31</v>
      </c>
      <c r="C50" s="1" t="s">
        <v>333</v>
      </c>
      <c r="D50" s="1" t="s">
        <v>33</v>
      </c>
      <c r="E50" s="1" t="n">
        <v>2</v>
      </c>
      <c r="F50" s="1" t="s">
        <v>248</v>
      </c>
      <c r="G50" s="1" t="s">
        <v>31</v>
      </c>
      <c r="H50" s="1" t="s">
        <v>333</v>
      </c>
      <c r="I50" s="2" t="n">
        <v>43858</v>
      </c>
      <c r="J50" s="2" t="n">
        <v>43862</v>
      </c>
      <c r="K50" s="1" t="s">
        <v>33</v>
      </c>
      <c r="L50" s="2" t="n">
        <v>43863</v>
      </c>
      <c r="M50" s="2" t="n">
        <v>43863</v>
      </c>
      <c r="N50" s="2" t="n">
        <v>43869</v>
      </c>
      <c r="O50" s="1" t="n">
        <v>1</v>
      </c>
      <c r="P50" s="1" t="n">
        <v>36</v>
      </c>
      <c r="Q50" s="1" t="n">
        <v>21.8299522</v>
      </c>
      <c r="R50" s="2" t="n">
        <v>43862</v>
      </c>
      <c r="S50" s="3" t="n">
        <v>7.91</v>
      </c>
      <c r="T50" s="3" t="n">
        <v>2.42837</v>
      </c>
      <c r="U50" s="3" t="n">
        <v>0.71981</v>
      </c>
      <c r="V50" s="1" t="n">
        <v>334</v>
      </c>
      <c r="W50" s="2" t="n">
        <v>43862</v>
      </c>
      <c r="X50" s="4" t="n">
        <v>0.1</v>
      </c>
      <c r="Y50" s="1" t="n">
        <v>9.5</v>
      </c>
      <c r="Z50" s="1" t="n">
        <v>13</v>
      </c>
      <c r="AA50" s="1" t="n">
        <v>12</v>
      </c>
      <c r="AB50" s="4" t="n">
        <v>11.9</v>
      </c>
      <c r="AC50" s="4" t="n">
        <v>5</v>
      </c>
      <c r="AD50" s="1" t="n">
        <v>80</v>
      </c>
      <c r="AE50" s="1" t="n">
        <v>7.87</v>
      </c>
    </row>
    <row r="51" customFormat="false" ht="13.5" hidden="false" customHeight="false" outlineLevel="0" collapsed="false">
      <c r="A51" s="1" t="s">
        <v>334</v>
      </c>
      <c r="B51" s="1" t="s">
        <v>31</v>
      </c>
      <c r="C51" s="1" t="s">
        <v>334</v>
      </c>
      <c r="D51" s="1" t="s">
        <v>33</v>
      </c>
      <c r="E51" s="1" t="n">
        <v>2</v>
      </c>
      <c r="F51" s="1" t="s">
        <v>248</v>
      </c>
      <c r="G51" s="1" t="s">
        <v>31</v>
      </c>
      <c r="H51" s="1" t="s">
        <v>334</v>
      </c>
      <c r="I51" s="2" t="n">
        <v>43857</v>
      </c>
      <c r="J51" s="2" t="n">
        <v>43871</v>
      </c>
      <c r="K51" s="1" t="s">
        <v>33</v>
      </c>
      <c r="L51" s="2" t="n">
        <v>43872</v>
      </c>
      <c r="M51" s="2" t="n">
        <v>43872</v>
      </c>
      <c r="N51" s="2" t="n">
        <v>43894</v>
      </c>
      <c r="O51" s="1" t="n">
        <v>0</v>
      </c>
      <c r="P51" s="1" t="n">
        <v>54</v>
      </c>
      <c r="Q51" s="1" t="n">
        <v>24.3910588392529</v>
      </c>
      <c r="R51" s="2" t="n">
        <v>43871</v>
      </c>
      <c r="S51" s="3" t="n">
        <v>4</v>
      </c>
      <c r="T51" s="3" t="n">
        <v>1.372</v>
      </c>
      <c r="U51" s="3" t="n">
        <v>0.372</v>
      </c>
      <c r="V51" s="1" t="n">
        <v>254</v>
      </c>
      <c r="W51" s="2" t="n">
        <v>43871</v>
      </c>
      <c r="X51" s="4" t="n">
        <v>3.5</v>
      </c>
      <c r="Y51" s="1" t="n">
        <v>25.8</v>
      </c>
      <c r="Z51" s="1" t="n">
        <v>23</v>
      </c>
      <c r="AA51" s="1" t="n">
        <v>27</v>
      </c>
      <c r="AB51" s="4" t="n">
        <v>6.9</v>
      </c>
      <c r="AC51" s="4" t="n">
        <v>2.9</v>
      </c>
      <c r="AD51" s="1" t="n">
        <v>84</v>
      </c>
      <c r="AE51" s="1" t="n">
        <v>6.25</v>
      </c>
    </row>
    <row r="52" customFormat="false" ht="13.5" hidden="false" customHeight="false" outlineLevel="0" collapsed="false">
      <c r="A52" s="1" t="s">
        <v>335</v>
      </c>
      <c r="B52" s="1" t="s">
        <v>31</v>
      </c>
      <c r="C52" s="1" t="s">
        <v>335</v>
      </c>
      <c r="D52" s="1" t="s">
        <v>33</v>
      </c>
      <c r="E52" s="1" t="n">
        <v>2</v>
      </c>
      <c r="F52" s="1" t="s">
        <v>248</v>
      </c>
      <c r="G52" s="1" t="s">
        <v>31</v>
      </c>
      <c r="H52" s="1" t="s">
        <v>335</v>
      </c>
      <c r="I52" s="2" t="n">
        <v>43863</v>
      </c>
      <c r="J52" s="2" t="n">
        <v>43866</v>
      </c>
      <c r="K52" s="1" t="s">
        <v>33</v>
      </c>
      <c r="L52" s="2" t="n">
        <v>43867</v>
      </c>
      <c r="M52" s="2" t="n">
        <v>43867</v>
      </c>
      <c r="N52" s="2" t="n">
        <v>43893</v>
      </c>
      <c r="O52" s="1" t="n">
        <v>1</v>
      </c>
      <c r="P52" s="1" t="n">
        <v>37</v>
      </c>
      <c r="Q52" s="1" t="n">
        <v>22.4609375</v>
      </c>
      <c r="R52" s="2" t="n">
        <v>43866</v>
      </c>
      <c r="S52" s="3" t="n">
        <v>4.22</v>
      </c>
      <c r="T52" s="3" t="n">
        <v>1.419608</v>
      </c>
      <c r="U52" s="3" t="n">
        <v>0.292868</v>
      </c>
      <c r="V52" s="3" t="n">
        <v>160</v>
      </c>
      <c r="W52" s="2" t="n">
        <v>43866</v>
      </c>
      <c r="X52" s="3" t="n">
        <v>0.8</v>
      </c>
      <c r="Y52" s="3" t="n">
        <v>12.8</v>
      </c>
      <c r="Z52" s="3" t="n">
        <v>13</v>
      </c>
      <c r="AA52" s="3" t="n">
        <v>13</v>
      </c>
      <c r="AB52" s="3" t="n">
        <v>9</v>
      </c>
      <c r="AC52" s="3" t="n">
        <v>3.3</v>
      </c>
      <c r="AD52" s="3" t="n">
        <v>58</v>
      </c>
      <c r="AE52" s="1" t="n">
        <v>7.56</v>
      </c>
    </row>
    <row r="53" customFormat="false" ht="13.5" hidden="false" customHeight="false" outlineLevel="0" collapsed="false">
      <c r="A53" s="1" t="s">
        <v>336</v>
      </c>
      <c r="B53" s="1" t="s">
        <v>31</v>
      </c>
      <c r="C53" s="1" t="s">
        <v>336</v>
      </c>
      <c r="D53" s="1" t="s">
        <v>33</v>
      </c>
      <c r="E53" s="1" t="n">
        <v>2</v>
      </c>
      <c r="F53" s="1" t="s">
        <v>248</v>
      </c>
      <c r="G53" s="1" t="s">
        <v>31</v>
      </c>
      <c r="H53" s="1" t="s">
        <v>336</v>
      </c>
      <c r="I53" s="2" t="n">
        <v>43859</v>
      </c>
      <c r="J53" s="2" t="n">
        <v>43864</v>
      </c>
      <c r="K53" s="1" t="s">
        <v>33</v>
      </c>
      <c r="L53" s="2" t="n">
        <v>43865</v>
      </c>
      <c r="M53" s="2" t="n">
        <v>43865</v>
      </c>
      <c r="N53" s="2" t="n">
        <v>43897</v>
      </c>
      <c r="O53" s="1" t="n">
        <v>1</v>
      </c>
      <c r="P53" s="1" t="n">
        <v>51</v>
      </c>
      <c r="Q53" s="1" t="n">
        <v>24.08822312</v>
      </c>
      <c r="R53" s="2" t="n">
        <v>43864</v>
      </c>
      <c r="S53" s="3" t="n">
        <v>4.74</v>
      </c>
      <c r="T53" s="3" t="n">
        <v>1.63056</v>
      </c>
      <c r="U53" s="3" t="n">
        <v>0.48822</v>
      </c>
      <c r="V53" s="1" t="n">
        <v>223</v>
      </c>
      <c r="W53" s="2" t="n">
        <v>43864</v>
      </c>
      <c r="X53" s="4" t="n">
        <v>23.2</v>
      </c>
      <c r="Y53" s="1" t="n">
        <v>17.4</v>
      </c>
      <c r="Z53" s="1" t="n">
        <v>22</v>
      </c>
      <c r="AA53" s="1" t="n">
        <v>12</v>
      </c>
      <c r="AB53" s="4" t="n">
        <v>3.4</v>
      </c>
      <c r="AC53" s="4" t="n">
        <v>1.3</v>
      </c>
      <c r="AD53" s="1" t="n">
        <v>60</v>
      </c>
      <c r="AE53" s="1" t="n">
        <v>8.08</v>
      </c>
    </row>
    <row r="54" customFormat="false" ht="13.5" hidden="false" customHeight="false" outlineLevel="0" collapsed="false">
      <c r="A54" s="1" t="s">
        <v>337</v>
      </c>
      <c r="B54" s="1" t="s">
        <v>31</v>
      </c>
      <c r="C54" s="1" t="s">
        <v>337</v>
      </c>
      <c r="D54" s="1" t="s">
        <v>33</v>
      </c>
      <c r="E54" s="1" t="n">
        <v>2</v>
      </c>
      <c r="F54" s="1" t="s">
        <v>248</v>
      </c>
      <c r="G54" s="1" t="s">
        <v>31</v>
      </c>
      <c r="H54" s="1" t="s">
        <v>337</v>
      </c>
      <c r="I54" s="2" t="n">
        <v>43860</v>
      </c>
      <c r="J54" s="2" t="n">
        <v>43863</v>
      </c>
      <c r="K54" s="1" t="s">
        <v>33</v>
      </c>
      <c r="L54" s="2" t="n">
        <v>43864</v>
      </c>
      <c r="M54" s="2" t="n">
        <v>43864</v>
      </c>
      <c r="N54" s="2" t="n">
        <v>43873</v>
      </c>
      <c r="O54" s="1" t="n">
        <v>1</v>
      </c>
      <c r="P54" s="1" t="n">
        <v>48</v>
      </c>
      <c r="Q54" s="1" t="n">
        <v>23.14725512</v>
      </c>
      <c r="R54" s="2" t="n">
        <v>43863</v>
      </c>
      <c r="S54" s="3" t="n">
        <v>4.3</v>
      </c>
      <c r="T54" s="3" t="n">
        <v>1.4792</v>
      </c>
      <c r="U54" s="3" t="n">
        <v>0.3698</v>
      </c>
      <c r="V54" s="1" t="n">
        <v>182</v>
      </c>
      <c r="W54" s="2" t="n">
        <v>43863</v>
      </c>
      <c r="X54" s="4" t="n">
        <v>0.8</v>
      </c>
      <c r="Y54" s="1" t="n">
        <v>20.2</v>
      </c>
      <c r="Z54" s="1" t="n">
        <v>19</v>
      </c>
      <c r="AA54" s="1" t="n">
        <v>12</v>
      </c>
      <c r="AB54" s="4" t="n">
        <v>18.8</v>
      </c>
      <c r="AC54" s="4" t="n">
        <v>7.4</v>
      </c>
      <c r="AD54" s="1" t="n">
        <v>62</v>
      </c>
      <c r="AE54" s="1" t="n">
        <v>5.63</v>
      </c>
    </row>
    <row r="55" customFormat="false" ht="13.5" hidden="false" customHeight="false" outlineLevel="0" collapsed="false">
      <c r="A55" s="1" t="s">
        <v>338</v>
      </c>
      <c r="B55" s="1" t="s">
        <v>31</v>
      </c>
      <c r="C55" s="1" t="s">
        <v>338</v>
      </c>
      <c r="D55" s="1" t="s">
        <v>33</v>
      </c>
      <c r="E55" s="1" t="n">
        <v>2</v>
      </c>
      <c r="F55" s="1" t="s">
        <v>248</v>
      </c>
      <c r="G55" s="1" t="s">
        <v>31</v>
      </c>
      <c r="H55" s="1" t="s">
        <v>338</v>
      </c>
      <c r="I55" s="2" t="n">
        <v>43861</v>
      </c>
      <c r="J55" s="2" t="n">
        <v>43864</v>
      </c>
      <c r="K55" s="1" t="s">
        <v>33</v>
      </c>
      <c r="L55" s="2" t="n">
        <v>43865</v>
      </c>
      <c r="M55" s="2" t="n">
        <v>43865</v>
      </c>
      <c r="N55" s="2" t="n">
        <v>43882</v>
      </c>
      <c r="O55" s="1" t="n">
        <v>0</v>
      </c>
      <c r="P55" s="1" t="n">
        <v>66</v>
      </c>
      <c r="Q55" s="1" t="n">
        <v>24.91349481</v>
      </c>
      <c r="R55" s="2" t="n">
        <v>43864</v>
      </c>
      <c r="S55" s="3" t="n">
        <v>6.31</v>
      </c>
      <c r="T55" s="3" t="n">
        <v>1.67215</v>
      </c>
      <c r="U55" s="3" t="n">
        <v>0.49849</v>
      </c>
      <c r="V55" s="1" t="n">
        <v>241</v>
      </c>
      <c r="W55" s="2" t="n">
        <v>43864</v>
      </c>
      <c r="X55" s="4" t="n">
        <v>85.4</v>
      </c>
      <c r="Y55" s="1" t="n">
        <v>17.5</v>
      </c>
      <c r="Z55" s="1" t="n">
        <v>22</v>
      </c>
      <c r="AA55" s="1" t="n">
        <v>42</v>
      </c>
      <c r="AB55" s="4" t="n">
        <v>20.2</v>
      </c>
      <c r="AC55" s="4" t="n">
        <v>8.7</v>
      </c>
      <c r="AD55" s="1" t="n">
        <v>74</v>
      </c>
      <c r="AE55" s="1" t="n">
        <v>18.02</v>
      </c>
    </row>
    <row r="56" customFormat="false" ht="13.5" hidden="false" customHeight="false" outlineLevel="0" collapsed="false">
      <c r="A56" s="1" t="s">
        <v>339</v>
      </c>
      <c r="B56" s="1" t="s">
        <v>31</v>
      </c>
      <c r="C56" s="1" t="s">
        <v>339</v>
      </c>
      <c r="D56" s="1" t="s">
        <v>33</v>
      </c>
      <c r="E56" s="1" t="n">
        <v>2</v>
      </c>
      <c r="F56" s="1" t="s">
        <v>248</v>
      </c>
      <c r="G56" s="1" t="s">
        <v>31</v>
      </c>
      <c r="H56" s="1" t="s">
        <v>339</v>
      </c>
      <c r="I56" s="2" t="n">
        <v>43858</v>
      </c>
      <c r="J56" s="2" t="n">
        <v>43861</v>
      </c>
      <c r="K56" s="1" t="s">
        <v>33</v>
      </c>
      <c r="L56" s="2" t="n">
        <v>43862</v>
      </c>
      <c r="M56" s="2" t="n">
        <v>43862</v>
      </c>
      <c r="N56" s="2" t="n">
        <v>43869</v>
      </c>
      <c r="O56" s="1" t="n">
        <v>0</v>
      </c>
      <c r="P56" s="1" t="n">
        <v>37</v>
      </c>
      <c r="Q56" s="1" t="n">
        <v>22.83737024</v>
      </c>
      <c r="R56" s="2" t="n">
        <v>43861</v>
      </c>
      <c r="S56" s="3" t="n">
        <v>8.46</v>
      </c>
      <c r="T56" s="3" t="n">
        <v>2.36034</v>
      </c>
      <c r="U56" s="3" t="n">
        <v>0.38916</v>
      </c>
      <c r="V56" s="1" t="n">
        <v>247</v>
      </c>
      <c r="W56" s="2" t="n">
        <v>43861</v>
      </c>
      <c r="X56" s="4" t="n">
        <v>0.5</v>
      </c>
      <c r="Y56" s="1" t="n">
        <v>39.2</v>
      </c>
      <c r="Z56" s="1" t="n">
        <v>25</v>
      </c>
      <c r="AA56" s="1" t="n">
        <v>47</v>
      </c>
      <c r="AB56" s="4" t="n">
        <v>14.1</v>
      </c>
      <c r="AC56" s="4" t="n">
        <v>5.2</v>
      </c>
      <c r="AD56" s="1" t="n">
        <v>83</v>
      </c>
      <c r="AE56" s="1" t="n">
        <v>10.08</v>
      </c>
    </row>
    <row r="57" customFormat="false" ht="13.5" hidden="false" customHeight="false" outlineLevel="0" collapsed="false">
      <c r="A57" s="1" t="s">
        <v>340</v>
      </c>
      <c r="B57" s="1" t="s">
        <v>31</v>
      </c>
      <c r="C57" s="1" t="s">
        <v>340</v>
      </c>
      <c r="D57" s="1" t="s">
        <v>33</v>
      </c>
      <c r="E57" s="1" t="n">
        <v>2</v>
      </c>
      <c r="F57" s="1" t="s">
        <v>248</v>
      </c>
      <c r="G57" s="1" t="s">
        <v>31</v>
      </c>
      <c r="H57" s="1" t="s">
        <v>340</v>
      </c>
      <c r="I57" s="2" t="n">
        <v>43854</v>
      </c>
      <c r="J57" s="2" t="n">
        <v>43861</v>
      </c>
      <c r="K57" s="1" t="s">
        <v>33</v>
      </c>
      <c r="L57" s="2" t="n">
        <v>43862</v>
      </c>
      <c r="M57" s="2" t="n">
        <v>43862</v>
      </c>
      <c r="N57" s="2" t="n">
        <v>43879</v>
      </c>
      <c r="O57" s="1" t="n">
        <v>0</v>
      </c>
      <c r="P57" s="1" t="n">
        <v>46</v>
      </c>
      <c r="Q57" s="1" t="n">
        <v>27.6816609</v>
      </c>
      <c r="R57" s="2" t="n">
        <v>43861</v>
      </c>
      <c r="S57" s="3" t="n">
        <v>4.95</v>
      </c>
      <c r="T57" s="3" t="n">
        <v>1.782</v>
      </c>
      <c r="U57" s="3" t="n">
        <v>0.50985</v>
      </c>
      <c r="V57" s="1" t="n">
        <v>185</v>
      </c>
      <c r="W57" s="2" t="n">
        <v>43861</v>
      </c>
      <c r="X57" s="4" t="n">
        <v>16.6</v>
      </c>
      <c r="Y57" s="1" t="n">
        <v>42.9</v>
      </c>
      <c r="Z57" s="1" t="n">
        <v>36</v>
      </c>
      <c r="AA57" s="1" t="n">
        <v>74</v>
      </c>
      <c r="AB57" s="4" t="n">
        <v>9.9</v>
      </c>
      <c r="AC57" s="4" t="n">
        <v>4</v>
      </c>
      <c r="AD57" s="1" t="n">
        <v>88</v>
      </c>
      <c r="AE57" s="1" t="n">
        <v>5.65</v>
      </c>
    </row>
    <row r="58" customFormat="false" ht="13.5" hidden="false" customHeight="false" outlineLevel="0" collapsed="false">
      <c r="A58" s="1" t="s">
        <v>341</v>
      </c>
      <c r="B58" s="1" t="s">
        <v>31</v>
      </c>
      <c r="C58" s="1" t="s">
        <v>341</v>
      </c>
      <c r="D58" s="1" t="s">
        <v>33</v>
      </c>
      <c r="E58" s="1" t="n">
        <v>2</v>
      </c>
      <c r="F58" s="1" t="s">
        <v>248</v>
      </c>
      <c r="G58" s="1" t="s">
        <v>31</v>
      </c>
      <c r="H58" s="1" t="s">
        <v>341</v>
      </c>
      <c r="I58" s="2" t="n">
        <v>43853</v>
      </c>
      <c r="J58" s="2" t="n">
        <v>43862</v>
      </c>
      <c r="K58" s="1" t="s">
        <v>33</v>
      </c>
      <c r="L58" s="2" t="n">
        <v>43863</v>
      </c>
      <c r="M58" s="2" t="n">
        <v>43863</v>
      </c>
      <c r="N58" s="2" t="n">
        <v>43875</v>
      </c>
      <c r="O58" s="1" t="n">
        <v>0</v>
      </c>
      <c r="P58" s="1" t="n">
        <v>39</v>
      </c>
      <c r="Q58" s="1" t="n">
        <v>28.5467128</v>
      </c>
      <c r="R58" s="2" t="n">
        <v>43862</v>
      </c>
      <c r="S58" s="3" t="n">
        <v>5.54</v>
      </c>
      <c r="T58" s="3" t="n">
        <v>1.520176</v>
      </c>
      <c r="U58" s="3" t="n">
        <v>0.611616</v>
      </c>
      <c r="V58" s="3" t="n">
        <v>229</v>
      </c>
      <c r="W58" s="2" t="n">
        <v>43862</v>
      </c>
      <c r="X58" s="3" t="n">
        <v>17.8</v>
      </c>
      <c r="Y58" s="3" t="n">
        <v>21.7</v>
      </c>
      <c r="Z58" s="3" t="n">
        <v>22</v>
      </c>
      <c r="AA58" s="3" t="n">
        <v>38</v>
      </c>
      <c r="AB58" s="3" t="n">
        <v>17</v>
      </c>
      <c r="AC58" s="3" t="n">
        <v>5.5</v>
      </c>
      <c r="AD58" s="3" t="n">
        <v>101</v>
      </c>
      <c r="AE58" s="1" t="n">
        <v>6.78</v>
      </c>
    </row>
    <row r="59" customFormat="false" ht="13.5" hidden="false" customHeight="false" outlineLevel="0" collapsed="false">
      <c r="A59" s="1" t="s">
        <v>342</v>
      </c>
      <c r="B59" s="1" t="s">
        <v>31</v>
      </c>
      <c r="C59" s="1" t="s">
        <v>342</v>
      </c>
      <c r="D59" s="1" t="s">
        <v>33</v>
      </c>
      <c r="E59" s="1" t="n">
        <v>2</v>
      </c>
      <c r="F59" s="1" t="s">
        <v>248</v>
      </c>
      <c r="G59" s="1" t="s">
        <v>31</v>
      </c>
      <c r="H59" s="1" t="s">
        <v>342</v>
      </c>
      <c r="I59" s="2" t="n">
        <v>43860</v>
      </c>
      <c r="J59" s="2" t="n">
        <v>43863</v>
      </c>
      <c r="K59" s="1" t="s">
        <v>33</v>
      </c>
      <c r="L59" s="2" t="n">
        <v>43864</v>
      </c>
      <c r="M59" s="2" t="n">
        <v>43864</v>
      </c>
      <c r="N59" s="2" t="n">
        <v>43879</v>
      </c>
      <c r="O59" s="1" t="n">
        <v>0</v>
      </c>
      <c r="P59" s="1" t="n">
        <v>47</v>
      </c>
      <c r="Q59" s="1" t="n">
        <v>30.6793279766253</v>
      </c>
      <c r="R59" s="2" t="n">
        <v>43863</v>
      </c>
      <c r="S59" s="3" t="n">
        <v>13.29</v>
      </c>
      <c r="T59" s="3" t="n">
        <v>1.281156</v>
      </c>
      <c r="U59" s="3" t="n">
        <v>0.417306</v>
      </c>
      <c r="V59" s="1" t="n">
        <v>331</v>
      </c>
      <c r="W59" s="2" t="n">
        <v>43863</v>
      </c>
      <c r="X59" s="4" t="n">
        <v>5.2</v>
      </c>
      <c r="Y59" s="1" t="n">
        <v>67</v>
      </c>
      <c r="Z59" s="1" t="n">
        <v>24</v>
      </c>
      <c r="AA59" s="1" t="n">
        <v>108</v>
      </c>
      <c r="AB59" s="4" t="n">
        <v>10</v>
      </c>
      <c r="AC59" s="4" t="n">
        <v>3.8</v>
      </c>
      <c r="AD59" s="1" t="n">
        <v>75</v>
      </c>
      <c r="AE59" s="1" t="n">
        <v>12.94</v>
      </c>
    </row>
    <row r="60" customFormat="false" ht="13.5" hidden="false" customHeight="false" outlineLevel="0" collapsed="false">
      <c r="A60" s="1" t="s">
        <v>247</v>
      </c>
      <c r="B60" s="1" t="s">
        <v>31</v>
      </c>
      <c r="C60" s="1" t="s">
        <v>247</v>
      </c>
      <c r="D60" s="1" t="s">
        <v>33</v>
      </c>
      <c r="E60" s="1" t="n">
        <v>3</v>
      </c>
      <c r="F60" s="1" t="s">
        <v>248</v>
      </c>
      <c r="G60" s="1" t="s">
        <v>31</v>
      </c>
      <c r="H60" s="1" t="s">
        <v>247</v>
      </c>
      <c r="I60" s="2" t="n">
        <v>43862</v>
      </c>
      <c r="J60" s="2" t="n">
        <v>43870</v>
      </c>
      <c r="K60" s="2" t="n">
        <v>43870</v>
      </c>
      <c r="L60" s="2" t="n">
        <v>43870</v>
      </c>
      <c r="M60" s="2" t="n">
        <v>43870</v>
      </c>
      <c r="N60" s="2" t="n">
        <v>43887</v>
      </c>
      <c r="O60" s="1" t="n">
        <v>1</v>
      </c>
      <c r="P60" s="1" t="n">
        <v>65</v>
      </c>
      <c r="Q60" s="1" t="n">
        <v>22.2222222222222</v>
      </c>
      <c r="R60" s="2" t="n">
        <v>43870</v>
      </c>
      <c r="S60" s="3" t="n">
        <v>6.19</v>
      </c>
      <c r="T60" s="3" t="n">
        <v>0.689566</v>
      </c>
      <c r="U60" s="3" t="n">
        <v>0.522436</v>
      </c>
      <c r="V60" s="1" t="n">
        <v>257</v>
      </c>
      <c r="W60" s="2" t="n">
        <v>43870</v>
      </c>
      <c r="X60" s="4" t="n">
        <v>10.4</v>
      </c>
      <c r="Y60" s="1" t="n">
        <v>31.6</v>
      </c>
      <c r="Z60" s="1" t="n">
        <v>41</v>
      </c>
      <c r="AA60" s="1" t="n">
        <v>25</v>
      </c>
      <c r="AB60" s="4" t="n">
        <v>24.4</v>
      </c>
      <c r="AC60" s="4" t="n">
        <v>10.6</v>
      </c>
      <c r="AD60" s="1" t="n">
        <v>56</v>
      </c>
      <c r="AE60" s="1" t="n">
        <v>6.16</v>
      </c>
    </row>
    <row r="61" customFormat="false" ht="13.5" hidden="false" customHeight="false" outlineLevel="0" collapsed="false">
      <c r="A61" s="1" t="s">
        <v>249</v>
      </c>
      <c r="B61" s="1" t="s">
        <v>31</v>
      </c>
      <c r="C61" s="1" t="s">
        <v>249</v>
      </c>
      <c r="D61" s="1" t="s">
        <v>33</v>
      </c>
      <c r="E61" s="1" t="n">
        <v>3</v>
      </c>
      <c r="F61" s="1" t="s">
        <v>248</v>
      </c>
      <c r="G61" s="1" t="s">
        <v>31</v>
      </c>
      <c r="H61" s="1" t="s">
        <v>249</v>
      </c>
      <c r="I61" s="2" t="n">
        <v>43860</v>
      </c>
      <c r="J61" s="2" t="n">
        <v>43870</v>
      </c>
      <c r="K61" s="2" t="n">
        <v>43870</v>
      </c>
      <c r="L61" s="2" t="n">
        <v>43871</v>
      </c>
      <c r="M61" s="2" t="n">
        <v>43871</v>
      </c>
      <c r="N61" s="2" t="n">
        <v>43897</v>
      </c>
      <c r="O61" s="1" t="n">
        <v>1</v>
      </c>
      <c r="P61" s="1" t="n">
        <v>51</v>
      </c>
      <c r="Q61" s="1" t="s">
        <v>33</v>
      </c>
      <c r="R61" s="2" t="n">
        <v>43871</v>
      </c>
      <c r="S61" s="3" t="n">
        <v>4.38</v>
      </c>
      <c r="T61" s="3" t="n">
        <v>0.693792</v>
      </c>
      <c r="U61" s="3" t="n">
        <v>0.211992</v>
      </c>
      <c r="V61" s="1" t="n">
        <v>209</v>
      </c>
      <c r="W61" s="2" t="n">
        <v>43871</v>
      </c>
      <c r="X61" s="4" t="n">
        <v>16.7</v>
      </c>
      <c r="Y61" s="1" t="n">
        <v>17.8</v>
      </c>
      <c r="Z61" s="1" t="n">
        <v>27</v>
      </c>
      <c r="AA61" s="1" t="n">
        <v>19</v>
      </c>
      <c r="AB61" s="4" t="n">
        <v>19.8</v>
      </c>
      <c r="AC61" s="4" t="n">
        <v>7.4</v>
      </c>
      <c r="AD61" s="1" t="n">
        <v>75</v>
      </c>
      <c r="AE61" s="1" t="n">
        <v>7.64</v>
      </c>
    </row>
    <row r="62" customFormat="false" ht="13.5" hidden="false" customHeight="false" outlineLevel="0" collapsed="false">
      <c r="A62" s="1" t="s">
        <v>250</v>
      </c>
      <c r="B62" s="1" t="s">
        <v>31</v>
      </c>
      <c r="C62" s="1" t="s">
        <v>250</v>
      </c>
      <c r="D62" s="1" t="s">
        <v>33</v>
      </c>
      <c r="E62" s="1" t="n">
        <v>3</v>
      </c>
      <c r="F62" s="1" t="s">
        <v>248</v>
      </c>
      <c r="G62" s="1" t="s">
        <v>31</v>
      </c>
      <c r="H62" s="1" t="s">
        <v>250</v>
      </c>
      <c r="I62" s="2" t="n">
        <v>43862</v>
      </c>
      <c r="J62" s="2" t="n">
        <v>43868</v>
      </c>
      <c r="K62" s="2" t="n">
        <v>43870</v>
      </c>
      <c r="L62" s="2" t="n">
        <v>43869</v>
      </c>
      <c r="M62" s="2" t="n">
        <v>43869</v>
      </c>
      <c r="N62" s="2" t="n">
        <v>43899</v>
      </c>
      <c r="O62" s="1" t="n">
        <v>0</v>
      </c>
      <c r="P62" s="1" t="n">
        <v>56</v>
      </c>
      <c r="Q62" s="1" t="n">
        <v>26.5731292517007</v>
      </c>
      <c r="R62" s="2" t="n">
        <v>43868</v>
      </c>
      <c r="S62" s="3" t="n">
        <v>7.55</v>
      </c>
      <c r="T62" s="3" t="n">
        <v>0.24311</v>
      </c>
      <c r="U62" s="3" t="n">
        <v>0.2718</v>
      </c>
      <c r="V62" s="1" t="n">
        <v>112</v>
      </c>
      <c r="W62" s="2" t="n">
        <v>43868</v>
      </c>
      <c r="X62" s="4" t="n">
        <v>7</v>
      </c>
      <c r="Y62" s="1" t="n">
        <v>55.2</v>
      </c>
      <c r="Z62" s="1" t="n">
        <v>30</v>
      </c>
      <c r="AA62" s="1" t="n">
        <v>76</v>
      </c>
      <c r="AB62" s="4" t="n">
        <v>15.3</v>
      </c>
      <c r="AC62" s="4" t="n">
        <v>4.9</v>
      </c>
      <c r="AD62" s="1" t="n">
        <v>75</v>
      </c>
      <c r="AE62" s="1" t="n">
        <v>16.08</v>
      </c>
    </row>
    <row r="63" customFormat="false" ht="13.5" hidden="false" customHeight="false" outlineLevel="0" collapsed="false">
      <c r="A63" s="1" t="s">
        <v>251</v>
      </c>
      <c r="B63" s="1" t="s">
        <v>31</v>
      </c>
      <c r="C63" s="1" t="s">
        <v>251</v>
      </c>
      <c r="D63" s="1" t="s">
        <v>33</v>
      </c>
      <c r="E63" s="1" t="n">
        <v>3</v>
      </c>
      <c r="F63" s="1" t="s">
        <v>248</v>
      </c>
      <c r="G63" s="1" t="s">
        <v>31</v>
      </c>
      <c r="H63" s="1" t="s">
        <v>251</v>
      </c>
      <c r="I63" s="2" t="n">
        <v>43861</v>
      </c>
      <c r="J63" s="2" t="n">
        <v>43871</v>
      </c>
      <c r="K63" s="2" t="n">
        <v>43873</v>
      </c>
      <c r="L63" s="2" t="n">
        <v>43872</v>
      </c>
      <c r="M63" s="2" t="n">
        <v>43872</v>
      </c>
      <c r="N63" s="2" t="n">
        <v>43893</v>
      </c>
      <c r="O63" s="1" t="n">
        <v>0</v>
      </c>
      <c r="P63" s="1" t="n">
        <v>33</v>
      </c>
      <c r="Q63" s="1" t="n">
        <v>26.3656030286641</v>
      </c>
      <c r="R63" s="2" t="n">
        <v>43871</v>
      </c>
      <c r="S63" s="3" t="n">
        <v>10.05</v>
      </c>
      <c r="T63" s="3" t="n">
        <v>0.63717</v>
      </c>
      <c r="U63" s="3" t="n">
        <v>0.52662</v>
      </c>
      <c r="V63" s="1" t="n">
        <v>200</v>
      </c>
      <c r="W63" s="2" t="n">
        <v>43871</v>
      </c>
      <c r="X63" s="4" t="n">
        <v>29.9</v>
      </c>
      <c r="Y63" s="1" t="n">
        <v>17.5</v>
      </c>
      <c r="Z63" s="1" t="n">
        <v>13</v>
      </c>
      <c r="AA63" s="1" t="n">
        <v>37</v>
      </c>
      <c r="AB63" s="4" t="n">
        <v>11.6</v>
      </c>
      <c r="AC63" s="4" t="n">
        <v>3.3</v>
      </c>
      <c r="AD63" s="1" t="n">
        <v>93</v>
      </c>
      <c r="AE63" s="1" t="n">
        <v>9.92</v>
      </c>
    </row>
    <row r="64" customFormat="false" ht="13.5" hidden="false" customHeight="false" outlineLevel="0" collapsed="false">
      <c r="A64" s="1" t="s">
        <v>252</v>
      </c>
      <c r="B64" s="1" t="s">
        <v>31</v>
      </c>
      <c r="C64" s="1" t="s">
        <v>252</v>
      </c>
      <c r="D64" s="1" t="s">
        <v>33</v>
      </c>
      <c r="E64" s="1" t="n">
        <v>3</v>
      </c>
      <c r="F64" s="1" t="s">
        <v>248</v>
      </c>
      <c r="G64" s="1" t="s">
        <v>31</v>
      </c>
      <c r="H64" s="1" t="s">
        <v>252</v>
      </c>
      <c r="I64" s="2" t="n">
        <v>43860</v>
      </c>
      <c r="J64" s="2" t="n">
        <v>43867</v>
      </c>
      <c r="K64" s="2" t="n">
        <v>43868</v>
      </c>
      <c r="L64" s="2" t="n">
        <v>43868</v>
      </c>
      <c r="M64" s="2" t="n">
        <v>43868</v>
      </c>
      <c r="N64" s="2" t="n">
        <v>43900</v>
      </c>
      <c r="O64" s="1" t="n">
        <v>0</v>
      </c>
      <c r="P64" s="1" t="n">
        <v>68</v>
      </c>
      <c r="Q64" s="1" t="s">
        <v>33</v>
      </c>
      <c r="R64" s="2" t="n">
        <v>43867</v>
      </c>
      <c r="S64" s="3" t="n">
        <v>7.76</v>
      </c>
      <c r="T64" s="3" t="n">
        <v>0.4</v>
      </c>
      <c r="U64" s="3" t="n">
        <v>0.4</v>
      </c>
      <c r="V64" s="1" t="n">
        <v>151</v>
      </c>
      <c r="W64" s="2" t="n">
        <v>43867</v>
      </c>
      <c r="X64" s="4" t="n">
        <v>1.3</v>
      </c>
      <c r="Y64" s="1" t="n">
        <v>10.1</v>
      </c>
      <c r="Z64" s="1" t="n">
        <v>28</v>
      </c>
      <c r="AA64" s="1" t="n">
        <v>22</v>
      </c>
      <c r="AB64" s="4" t="n">
        <v>11.2</v>
      </c>
      <c r="AC64" s="4" t="n">
        <v>3.9</v>
      </c>
      <c r="AD64" s="1" t="n">
        <v>61</v>
      </c>
      <c r="AE64" s="1" t="n">
        <v>8.29</v>
      </c>
    </row>
    <row r="65" customFormat="false" ht="13.5" hidden="false" customHeight="false" outlineLevel="0" collapsed="false">
      <c r="A65" s="1" t="s">
        <v>253</v>
      </c>
      <c r="B65" s="1" t="s">
        <v>31</v>
      </c>
      <c r="C65" s="1" t="s">
        <v>253</v>
      </c>
      <c r="D65" s="1" t="s">
        <v>33</v>
      </c>
      <c r="E65" s="1" t="n">
        <v>3</v>
      </c>
      <c r="F65" s="1" t="s">
        <v>248</v>
      </c>
      <c r="G65" s="1" t="s">
        <v>31</v>
      </c>
      <c r="H65" s="1" t="s">
        <v>253</v>
      </c>
      <c r="I65" s="2" t="n">
        <v>43875</v>
      </c>
      <c r="J65" s="2" t="n">
        <v>43876</v>
      </c>
      <c r="K65" s="2" t="n">
        <v>43876</v>
      </c>
      <c r="L65" s="2" t="n">
        <v>43878</v>
      </c>
      <c r="M65" s="2" t="n">
        <v>43878</v>
      </c>
      <c r="N65" s="2" t="n">
        <v>43897</v>
      </c>
      <c r="O65" s="1" t="n">
        <v>1</v>
      </c>
      <c r="P65" s="1" t="n">
        <v>77</v>
      </c>
      <c r="Q65" s="1" t="n">
        <v>26.2226847034339</v>
      </c>
      <c r="R65" s="2" t="n">
        <v>43877</v>
      </c>
      <c r="S65" s="3" t="n">
        <v>4.31</v>
      </c>
      <c r="T65" s="3" t="n">
        <v>0.862</v>
      </c>
      <c r="U65" s="3" t="n">
        <v>0.33187</v>
      </c>
      <c r="V65" s="3" t="n">
        <v>161</v>
      </c>
      <c r="W65" s="2" t="n">
        <v>43877</v>
      </c>
      <c r="X65" s="3" t="n">
        <v>27.2</v>
      </c>
      <c r="Y65" s="3" t="n">
        <v>9.5</v>
      </c>
      <c r="Z65" s="3" t="n">
        <v>15</v>
      </c>
      <c r="AA65" s="3" t="n">
        <v>14</v>
      </c>
      <c r="AB65" s="3" t="n">
        <v>9.2</v>
      </c>
      <c r="AC65" s="3" t="n">
        <v>3.8</v>
      </c>
      <c r="AD65" s="3" t="n">
        <v>81</v>
      </c>
      <c r="AE65" s="1" t="n">
        <v>8.01</v>
      </c>
    </row>
    <row r="66" customFormat="false" ht="13.5" hidden="false" customHeight="false" outlineLevel="0" collapsed="false">
      <c r="A66" s="1" t="s">
        <v>254</v>
      </c>
      <c r="B66" s="1" t="s">
        <v>31</v>
      </c>
      <c r="C66" s="1" t="s">
        <v>254</v>
      </c>
      <c r="D66" s="1" t="s">
        <v>33</v>
      </c>
      <c r="E66" s="1" t="n">
        <v>3</v>
      </c>
      <c r="F66" s="1" t="s">
        <v>248</v>
      </c>
      <c r="G66" s="1" t="s">
        <v>31</v>
      </c>
      <c r="H66" s="1" t="s">
        <v>254</v>
      </c>
      <c r="I66" s="2" t="n">
        <v>43856</v>
      </c>
      <c r="J66" s="2" t="n">
        <v>43864</v>
      </c>
      <c r="K66" s="2" t="n">
        <v>43864</v>
      </c>
      <c r="L66" s="2" t="n">
        <v>43865</v>
      </c>
      <c r="M66" s="2" t="n">
        <v>43865</v>
      </c>
      <c r="N66" s="2" t="n">
        <v>43894</v>
      </c>
      <c r="O66" s="1" t="n">
        <v>0</v>
      </c>
      <c r="P66" s="1" t="n">
        <v>44</v>
      </c>
      <c r="Q66" s="1" t="n">
        <v>29.41176471</v>
      </c>
      <c r="R66" s="2" t="n">
        <v>43864</v>
      </c>
      <c r="S66" s="3" t="n">
        <v>5.91</v>
      </c>
      <c r="T66" s="3" t="n">
        <v>1.190274</v>
      </c>
      <c r="U66" s="3" t="n">
        <v>0.622914</v>
      </c>
      <c r="V66" s="1" t="n">
        <v>287</v>
      </c>
      <c r="W66" s="2" t="n">
        <v>43864</v>
      </c>
      <c r="X66" s="4" t="n">
        <v>56.5</v>
      </c>
      <c r="Y66" s="1" t="n">
        <v>28.1</v>
      </c>
      <c r="Z66" s="1" t="n">
        <v>28</v>
      </c>
      <c r="AA66" s="1" t="n">
        <v>37</v>
      </c>
      <c r="AB66" s="4" t="n">
        <v>10.5</v>
      </c>
      <c r="AC66" s="4" t="n">
        <v>4.7</v>
      </c>
      <c r="AD66" s="1" t="n">
        <v>75</v>
      </c>
      <c r="AE66" s="1" t="n">
        <v>9.44</v>
      </c>
    </row>
    <row r="67" customFormat="false" ht="13.5" hidden="false" customHeight="false" outlineLevel="0" collapsed="false">
      <c r="A67" s="1" t="s">
        <v>108</v>
      </c>
      <c r="B67" s="1" t="s">
        <v>31</v>
      </c>
      <c r="C67" s="1" t="s">
        <v>109</v>
      </c>
      <c r="D67" s="1" t="s">
        <v>33</v>
      </c>
      <c r="E67" s="1" t="n">
        <v>1</v>
      </c>
      <c r="G67" s="1" t="s">
        <v>31</v>
      </c>
      <c r="H67" s="1" t="s">
        <v>110</v>
      </c>
      <c r="J67" s="2" t="n">
        <v>43852</v>
      </c>
      <c r="O67" s="1" t="n">
        <v>1</v>
      </c>
      <c r="P67" s="1" t="n">
        <v>61</v>
      </c>
      <c r="Q67" s="1" t="n">
        <v>20.76124567</v>
      </c>
      <c r="R67" s="2" t="n">
        <v>43852</v>
      </c>
      <c r="S67" s="3" t="n">
        <v>12.2</v>
      </c>
      <c r="T67" s="3" t="n">
        <v>0.8</v>
      </c>
      <c r="U67" s="3" t="n">
        <v>0.7</v>
      </c>
      <c r="V67" s="3" t="n">
        <v>116</v>
      </c>
      <c r="W67" s="2" t="n">
        <v>43853</v>
      </c>
      <c r="X67" s="3" t="n">
        <v>22.3</v>
      </c>
      <c r="Y67" s="3" t="n">
        <v>52</v>
      </c>
      <c r="Z67" s="3" t="n">
        <v>172</v>
      </c>
      <c r="AA67" s="3" t="n">
        <v>15</v>
      </c>
      <c r="AB67" s="3" t="n">
        <v>14.9</v>
      </c>
      <c r="AC67" s="3" t="n">
        <v>6</v>
      </c>
      <c r="AD67" s="3" t="n">
        <v>67</v>
      </c>
      <c r="AE67" s="10" t="n">
        <v>5.66</v>
      </c>
    </row>
    <row r="68" customFormat="false" ht="13.5" hidden="false" customHeight="false" outlineLevel="0" collapsed="false">
      <c r="A68" s="1" t="s">
        <v>111</v>
      </c>
      <c r="B68" s="1" t="s">
        <v>31</v>
      </c>
      <c r="C68" s="1" t="s">
        <v>112</v>
      </c>
      <c r="D68" s="1" t="s">
        <v>33</v>
      </c>
      <c r="E68" s="1" t="n">
        <v>1</v>
      </c>
      <c r="G68" s="1" t="s">
        <v>31</v>
      </c>
      <c r="H68" s="1" t="s">
        <v>113</v>
      </c>
      <c r="J68" s="2" t="n">
        <v>43867</v>
      </c>
      <c r="O68" s="1" t="n">
        <v>1</v>
      </c>
      <c r="P68" s="1" t="n">
        <v>57</v>
      </c>
      <c r="Q68" s="1" t="n">
        <v>24.74093729</v>
      </c>
      <c r="R68" s="2" t="n">
        <v>43868</v>
      </c>
      <c r="S68" s="3" t="n">
        <v>6.6</v>
      </c>
      <c r="T68" s="3" t="n">
        <v>1.9</v>
      </c>
      <c r="U68" s="3" t="n">
        <v>0.6</v>
      </c>
      <c r="V68" s="3" t="n">
        <v>166</v>
      </c>
      <c r="W68" s="2" t="n">
        <v>43868</v>
      </c>
      <c r="X68" s="3" t="s">
        <v>33</v>
      </c>
      <c r="Y68" s="3" t="n">
        <v>824</v>
      </c>
      <c r="Z68" s="3" t="n">
        <v>743</v>
      </c>
      <c r="AA68" s="3" t="n">
        <v>148</v>
      </c>
      <c r="AB68" s="3" t="n">
        <v>403.4</v>
      </c>
      <c r="AC68" s="3" t="n">
        <v>254.4</v>
      </c>
      <c r="AD68" s="3" t="n">
        <v>87</v>
      </c>
      <c r="AE68" s="10" t="n">
        <v>3.65</v>
      </c>
    </row>
    <row r="69" customFormat="false" ht="13.5" hidden="false" customHeight="false" outlineLevel="0" collapsed="false">
      <c r="A69" s="1" t="s">
        <v>114</v>
      </c>
      <c r="B69" s="1" t="s">
        <v>31</v>
      </c>
      <c r="C69" s="1" t="s">
        <v>115</v>
      </c>
      <c r="D69" s="1" t="s">
        <v>33</v>
      </c>
      <c r="E69" s="1" t="n">
        <v>1</v>
      </c>
      <c r="G69" s="1" t="s">
        <v>31</v>
      </c>
      <c r="H69" s="1" t="s">
        <v>116</v>
      </c>
      <c r="J69" s="2" t="n">
        <v>43855</v>
      </c>
      <c r="O69" s="1" t="n">
        <v>1</v>
      </c>
      <c r="P69" s="1" t="n">
        <v>53</v>
      </c>
      <c r="Q69" s="1" t="s">
        <v>33</v>
      </c>
      <c r="R69" s="2" t="n">
        <v>43855</v>
      </c>
      <c r="S69" s="3" t="n">
        <v>13.5</v>
      </c>
      <c r="T69" s="3" t="n">
        <v>0.9</v>
      </c>
      <c r="U69" s="3" t="n">
        <v>0.3</v>
      </c>
      <c r="V69" s="3" t="n">
        <v>332</v>
      </c>
      <c r="W69" s="2" t="n">
        <v>43855</v>
      </c>
      <c r="X69" s="3" t="n">
        <v>10.9</v>
      </c>
      <c r="Y69" s="3" t="n">
        <v>9</v>
      </c>
      <c r="Z69" s="3" t="n">
        <v>18</v>
      </c>
      <c r="AA69" s="3" t="n">
        <v>9</v>
      </c>
      <c r="AB69" s="3" t="n">
        <v>16</v>
      </c>
      <c r="AC69" s="3" t="n">
        <v>2.2</v>
      </c>
      <c r="AD69" s="3" t="n">
        <v>4</v>
      </c>
      <c r="AE69" s="10" t="n">
        <v>6.85</v>
      </c>
    </row>
    <row r="70" customFormat="false" ht="13.5" hidden="false" customHeight="false" outlineLevel="0" collapsed="false">
      <c r="A70" s="1" t="s">
        <v>117</v>
      </c>
      <c r="B70" s="1" t="s">
        <v>31</v>
      </c>
      <c r="C70" s="1" t="s">
        <v>118</v>
      </c>
      <c r="D70" s="1" t="s">
        <v>33</v>
      </c>
      <c r="E70" s="1" t="n">
        <v>1</v>
      </c>
      <c r="G70" s="1" t="s">
        <v>31</v>
      </c>
      <c r="H70" s="1" t="s">
        <v>119</v>
      </c>
      <c r="J70" s="2" t="n">
        <v>43864</v>
      </c>
      <c r="O70" s="1" t="n">
        <v>1</v>
      </c>
      <c r="P70" s="1" t="n">
        <v>65</v>
      </c>
      <c r="Q70" s="1" t="n">
        <v>26.98961938</v>
      </c>
      <c r="R70" s="2" t="n">
        <v>43865</v>
      </c>
      <c r="S70" s="3" t="n">
        <v>6.8</v>
      </c>
      <c r="T70" s="3" t="n">
        <v>3</v>
      </c>
      <c r="U70" s="3" t="n">
        <v>0.5</v>
      </c>
      <c r="V70" s="3" t="n">
        <v>171</v>
      </c>
      <c r="W70" s="2" t="n">
        <v>43865</v>
      </c>
      <c r="X70" s="4" t="s">
        <v>33</v>
      </c>
      <c r="Y70" s="4" t="n">
        <v>73</v>
      </c>
      <c r="Z70" s="4" t="n">
        <v>58</v>
      </c>
      <c r="AA70" s="4" t="n">
        <v>264</v>
      </c>
      <c r="AB70" s="4" t="n">
        <v>26.4</v>
      </c>
      <c r="AC70" s="4" t="n">
        <v>10.4</v>
      </c>
      <c r="AD70" s="4" t="n">
        <v>58</v>
      </c>
      <c r="AE70" s="10" t="n">
        <v>4.25</v>
      </c>
    </row>
    <row r="71" customFormat="false" ht="13.5" hidden="false" customHeight="false" outlineLevel="0" collapsed="false">
      <c r="A71" s="1" t="s">
        <v>120</v>
      </c>
      <c r="B71" s="1" t="s">
        <v>31</v>
      </c>
      <c r="C71" s="1" t="s">
        <v>121</v>
      </c>
      <c r="D71" s="1" t="s">
        <v>33</v>
      </c>
      <c r="E71" s="1" t="n">
        <v>1</v>
      </c>
      <c r="G71" s="1" t="s">
        <v>31</v>
      </c>
      <c r="H71" s="1" t="s">
        <v>122</v>
      </c>
      <c r="J71" s="2" t="n">
        <v>43863</v>
      </c>
      <c r="O71" s="1" t="n">
        <v>1</v>
      </c>
      <c r="P71" s="1" t="n">
        <v>60</v>
      </c>
      <c r="Q71" s="1" t="n">
        <v>20.76124567</v>
      </c>
      <c r="R71" s="2" t="n">
        <v>43863</v>
      </c>
      <c r="S71" s="3" t="n">
        <v>5.6</v>
      </c>
      <c r="T71" s="3" t="n">
        <v>0.5</v>
      </c>
      <c r="U71" s="3" t="n">
        <v>0.2</v>
      </c>
      <c r="V71" s="3" t="n">
        <v>80</v>
      </c>
      <c r="W71" s="2" t="n">
        <v>43863</v>
      </c>
      <c r="X71" s="4" t="n">
        <v>10.3</v>
      </c>
      <c r="Y71" s="4" t="n">
        <v>30</v>
      </c>
      <c r="Z71" s="4" t="n">
        <v>35</v>
      </c>
      <c r="AA71" s="4" t="n">
        <v>27</v>
      </c>
      <c r="AB71" s="4" t="n">
        <v>10.8</v>
      </c>
      <c r="AC71" s="4" t="n">
        <v>4.9</v>
      </c>
      <c r="AD71" s="4" t="n">
        <v>65</v>
      </c>
      <c r="AE71" s="10" t="n">
        <v>5.58</v>
      </c>
    </row>
    <row r="72" customFormat="false" ht="13.5" hidden="false" customHeight="false" outlineLevel="0" collapsed="false">
      <c r="A72" s="1" t="s">
        <v>123</v>
      </c>
      <c r="B72" s="1" t="s">
        <v>31</v>
      </c>
      <c r="C72" s="1" t="s">
        <v>124</v>
      </c>
      <c r="D72" s="1" t="s">
        <v>33</v>
      </c>
      <c r="E72" s="1" t="n">
        <v>1</v>
      </c>
      <c r="G72" s="1" t="s">
        <v>31</v>
      </c>
      <c r="H72" s="1" t="s">
        <v>125</v>
      </c>
      <c r="J72" s="2" t="n">
        <v>43865</v>
      </c>
      <c r="O72" s="1" t="n">
        <v>1</v>
      </c>
      <c r="P72" s="1" t="n">
        <v>61</v>
      </c>
      <c r="Q72" s="1" t="n">
        <v>27.04164413</v>
      </c>
      <c r="R72" s="2" t="n">
        <v>43866</v>
      </c>
      <c r="S72" s="3" t="n">
        <v>6.5</v>
      </c>
      <c r="T72" s="3" t="n">
        <v>0.6</v>
      </c>
      <c r="U72" s="3" t="n">
        <v>0.4</v>
      </c>
      <c r="V72" s="3" t="n">
        <v>37</v>
      </c>
      <c r="W72" s="2" t="n">
        <v>43866</v>
      </c>
      <c r="X72" s="4" t="n">
        <v>49</v>
      </c>
      <c r="Y72" s="4" t="n">
        <v>54</v>
      </c>
      <c r="Z72" s="4" t="n">
        <v>66</v>
      </c>
      <c r="AA72" s="4" t="n">
        <v>57</v>
      </c>
      <c r="AB72" s="4" t="n">
        <v>146.9</v>
      </c>
      <c r="AC72" s="4" t="n">
        <v>78.5</v>
      </c>
      <c r="AD72" s="4" t="n">
        <v>82</v>
      </c>
      <c r="AE72" s="10" t="n">
        <v>5.87</v>
      </c>
    </row>
    <row r="73" customFormat="false" ht="13.5" hidden="false" customHeight="false" outlineLevel="0" collapsed="false">
      <c r="A73" s="1" t="s">
        <v>126</v>
      </c>
      <c r="B73" s="1" t="s">
        <v>31</v>
      </c>
      <c r="C73" s="1" t="s">
        <v>127</v>
      </c>
      <c r="D73" s="1" t="s">
        <v>33</v>
      </c>
      <c r="E73" s="1" t="n">
        <v>1</v>
      </c>
      <c r="G73" s="1" t="s">
        <v>31</v>
      </c>
      <c r="H73" s="1" t="s">
        <v>128</v>
      </c>
      <c r="J73" s="2" t="n">
        <v>43864</v>
      </c>
      <c r="O73" s="1" t="n">
        <v>1</v>
      </c>
      <c r="P73" s="1" t="n">
        <v>48</v>
      </c>
      <c r="Q73" s="1" t="n">
        <v>26.12244898</v>
      </c>
      <c r="R73" s="2" t="n">
        <v>43865</v>
      </c>
      <c r="S73" s="3" t="n">
        <v>9.6</v>
      </c>
      <c r="T73" s="3" t="n">
        <v>0.9</v>
      </c>
      <c r="U73" s="3" t="n">
        <v>0.8</v>
      </c>
      <c r="V73" s="3" t="n">
        <v>123</v>
      </c>
      <c r="W73" s="2" t="n">
        <v>43865</v>
      </c>
      <c r="X73" s="4" t="n">
        <v>103.9</v>
      </c>
      <c r="Y73" s="4" t="n">
        <v>97</v>
      </c>
      <c r="Z73" s="4" t="n">
        <v>85</v>
      </c>
      <c r="AA73" s="4" t="n">
        <v>57</v>
      </c>
      <c r="AB73" s="4" t="n">
        <v>12.8</v>
      </c>
      <c r="AC73" s="4" t="n">
        <v>5.3</v>
      </c>
      <c r="AD73" s="4" t="n">
        <v>79</v>
      </c>
      <c r="AE73" s="10" t="n">
        <v>6.27</v>
      </c>
    </row>
    <row r="74" customFormat="false" ht="13.5" hidden="false" customHeight="false" outlineLevel="0" collapsed="false">
      <c r="A74" s="1" t="s">
        <v>129</v>
      </c>
      <c r="B74" s="1" t="s">
        <v>31</v>
      </c>
      <c r="C74" s="1" t="s">
        <v>130</v>
      </c>
      <c r="D74" s="1" t="s">
        <v>33</v>
      </c>
      <c r="E74" s="1" t="n">
        <v>1</v>
      </c>
      <c r="G74" s="1" t="s">
        <v>31</v>
      </c>
      <c r="H74" s="1" t="s">
        <v>131</v>
      </c>
      <c r="J74" s="2" t="n">
        <v>43867</v>
      </c>
      <c r="O74" s="1" t="n">
        <v>0</v>
      </c>
      <c r="P74" s="1" t="n">
        <v>55</v>
      </c>
      <c r="Q74" s="1" t="n">
        <v>21.22788762</v>
      </c>
      <c r="R74" s="2" t="n">
        <v>43868</v>
      </c>
      <c r="S74" s="3" t="n">
        <v>7.1</v>
      </c>
      <c r="T74" s="3" t="n">
        <v>1.6</v>
      </c>
      <c r="U74" s="3" t="n">
        <v>0.6</v>
      </c>
      <c r="V74" s="3" t="n">
        <v>225</v>
      </c>
      <c r="W74" s="2" t="n">
        <v>43868</v>
      </c>
      <c r="X74" s="4" t="n">
        <v>2.1</v>
      </c>
      <c r="Y74" s="4" t="n">
        <v>10</v>
      </c>
      <c r="Z74" s="4" t="n">
        <v>19</v>
      </c>
      <c r="AA74" s="4" t="n">
        <v>17</v>
      </c>
      <c r="AB74" s="4" t="n">
        <v>22.8</v>
      </c>
      <c r="AC74" s="4" t="n">
        <v>4.7</v>
      </c>
      <c r="AD74" s="4" t="n">
        <v>68</v>
      </c>
      <c r="AE74" s="10" t="n">
        <v>5.46</v>
      </c>
    </row>
    <row r="75" customFormat="false" ht="13.5" hidden="false" customHeight="false" outlineLevel="0" collapsed="false">
      <c r="A75" s="1" t="s">
        <v>132</v>
      </c>
      <c r="B75" s="1" t="s">
        <v>31</v>
      </c>
      <c r="C75" s="1" t="s">
        <v>133</v>
      </c>
      <c r="D75" s="1" t="s">
        <v>134</v>
      </c>
      <c r="E75" s="1" t="n">
        <v>1</v>
      </c>
      <c r="G75" s="1" t="s">
        <v>31</v>
      </c>
      <c r="H75" s="1" t="s">
        <v>135</v>
      </c>
      <c r="J75" s="2" t="n">
        <v>43867</v>
      </c>
      <c r="O75" s="1" t="n">
        <v>1</v>
      </c>
      <c r="P75" s="1" t="n">
        <v>56</v>
      </c>
      <c r="Q75" s="1" t="s">
        <v>33</v>
      </c>
      <c r="R75" s="2" t="n">
        <v>43868</v>
      </c>
      <c r="S75" s="3" t="n">
        <v>5.5</v>
      </c>
      <c r="T75" s="3" t="n">
        <v>0.6</v>
      </c>
      <c r="U75" s="3" t="n">
        <v>0.8</v>
      </c>
      <c r="V75" s="3" t="n">
        <v>214</v>
      </c>
      <c r="W75" s="2" t="n">
        <v>43867</v>
      </c>
      <c r="X75" s="4" t="n">
        <v>24.3</v>
      </c>
      <c r="Y75" s="4" t="n">
        <v>12</v>
      </c>
      <c r="Z75" s="4" t="n">
        <v>25</v>
      </c>
      <c r="AA75" s="4" t="n">
        <v>28</v>
      </c>
      <c r="AB75" s="4" t="n">
        <v>11.4</v>
      </c>
      <c r="AC75" s="4" t="n">
        <v>3.9</v>
      </c>
      <c r="AD75" s="4" t="n">
        <v>95</v>
      </c>
      <c r="AE75" s="10" t="n">
        <v>5.69</v>
      </c>
    </row>
    <row r="76" customFormat="false" ht="13.5" hidden="false" customHeight="false" outlineLevel="0" collapsed="false">
      <c r="A76" s="1" t="s">
        <v>136</v>
      </c>
      <c r="B76" s="1" t="s">
        <v>31</v>
      </c>
      <c r="C76" s="1" t="s">
        <v>137</v>
      </c>
      <c r="D76" s="1" t="s">
        <v>33</v>
      </c>
      <c r="E76" s="1" t="n">
        <v>1</v>
      </c>
      <c r="G76" s="1" t="s">
        <v>31</v>
      </c>
      <c r="H76" s="1" t="s">
        <v>138</v>
      </c>
      <c r="J76" s="2" t="n">
        <v>43863</v>
      </c>
      <c r="O76" s="1" t="n">
        <v>1</v>
      </c>
      <c r="P76" s="1" t="n">
        <v>61</v>
      </c>
      <c r="Q76" s="1" t="n">
        <v>24.69135802</v>
      </c>
      <c r="R76" s="2" t="n">
        <v>43863</v>
      </c>
      <c r="S76" s="3" t="n">
        <v>7.6</v>
      </c>
      <c r="T76" s="3" t="n">
        <v>2.3</v>
      </c>
      <c r="U76" s="3" t="n">
        <v>0.6</v>
      </c>
      <c r="V76" s="3" t="n">
        <v>173</v>
      </c>
      <c r="W76" s="2" t="n">
        <v>43863</v>
      </c>
      <c r="X76" s="4" t="n">
        <v>1</v>
      </c>
      <c r="Y76" s="4" t="n">
        <v>30</v>
      </c>
      <c r="Z76" s="4" t="n">
        <v>35</v>
      </c>
      <c r="AA76" s="4" t="n">
        <v>175</v>
      </c>
      <c r="AB76" s="4" t="n">
        <v>22</v>
      </c>
      <c r="AC76" s="4" t="n">
        <v>5.3</v>
      </c>
      <c r="AD76" s="4" t="n">
        <v>114</v>
      </c>
      <c r="AE76" s="10" t="n">
        <v>5.61</v>
      </c>
    </row>
    <row r="77" customFormat="false" ht="13.5" hidden="false" customHeight="false" outlineLevel="0" collapsed="false">
      <c r="A77" s="1" t="s">
        <v>139</v>
      </c>
      <c r="B77" s="1" t="s">
        <v>31</v>
      </c>
      <c r="C77" s="1" t="s">
        <v>140</v>
      </c>
      <c r="D77" s="1" t="s">
        <v>33</v>
      </c>
      <c r="E77" s="1" t="n">
        <v>1</v>
      </c>
      <c r="G77" s="1" t="s">
        <v>31</v>
      </c>
      <c r="H77" s="1" t="s">
        <v>141</v>
      </c>
      <c r="J77" s="2" t="n">
        <v>43875</v>
      </c>
      <c r="O77" s="1" t="n">
        <v>1</v>
      </c>
      <c r="P77" s="1" t="n">
        <v>64</v>
      </c>
      <c r="Q77" s="1" t="n">
        <v>19.59183673</v>
      </c>
      <c r="R77" s="2" t="n">
        <v>43876</v>
      </c>
      <c r="S77" s="3" t="n">
        <v>5.5</v>
      </c>
      <c r="T77" s="3" t="n">
        <v>0.2</v>
      </c>
      <c r="U77" s="3" t="n">
        <v>0.1</v>
      </c>
      <c r="V77" s="3" t="n">
        <v>201</v>
      </c>
      <c r="W77" s="2" t="n">
        <v>43876</v>
      </c>
      <c r="X77" s="4" t="n">
        <v>299.7</v>
      </c>
      <c r="Y77" s="4" t="n">
        <v>98</v>
      </c>
      <c r="Z77" s="4" t="n">
        <v>211</v>
      </c>
      <c r="AA77" s="4" t="n">
        <v>29</v>
      </c>
      <c r="AB77" s="4" t="n">
        <v>20.8</v>
      </c>
      <c r="AC77" s="4" t="n">
        <v>11.3</v>
      </c>
      <c r="AD77" s="4" t="n">
        <v>170</v>
      </c>
      <c r="AE77" s="10" t="n">
        <v>5</v>
      </c>
    </row>
    <row r="78" customFormat="false" ht="13.5" hidden="false" customHeight="false" outlineLevel="0" collapsed="false">
      <c r="A78" s="1" t="s">
        <v>142</v>
      </c>
      <c r="B78" s="1" t="s">
        <v>31</v>
      </c>
      <c r="C78" s="1" t="s">
        <v>143</v>
      </c>
      <c r="D78" s="1" t="s">
        <v>33</v>
      </c>
      <c r="E78" s="1" t="n">
        <v>1</v>
      </c>
      <c r="G78" s="1" t="s">
        <v>31</v>
      </c>
      <c r="H78" s="1" t="s">
        <v>144</v>
      </c>
      <c r="J78" s="2" t="n">
        <v>43863</v>
      </c>
      <c r="O78" s="1" t="n">
        <v>0</v>
      </c>
      <c r="P78" s="1" t="n">
        <v>36</v>
      </c>
      <c r="Q78" s="1" t="n">
        <v>25.97011555</v>
      </c>
      <c r="R78" s="2" t="n">
        <v>43863</v>
      </c>
      <c r="S78" s="3" t="n">
        <v>3.3</v>
      </c>
      <c r="T78" s="3" t="n">
        <v>0.9</v>
      </c>
      <c r="U78" s="3" t="n">
        <v>0.3</v>
      </c>
      <c r="V78" s="3" t="n">
        <v>262</v>
      </c>
      <c r="W78" s="2" t="n">
        <v>43863</v>
      </c>
      <c r="X78" s="4" t="s">
        <v>33</v>
      </c>
      <c r="Y78" s="4" t="n">
        <v>7</v>
      </c>
      <c r="Z78" s="4" t="n">
        <v>21</v>
      </c>
      <c r="AA78" s="4" t="n">
        <v>50</v>
      </c>
      <c r="AB78" s="4" t="n">
        <v>3.8</v>
      </c>
      <c r="AC78" s="4" t="n">
        <v>2.4</v>
      </c>
      <c r="AD78" s="4" t="n">
        <v>45</v>
      </c>
      <c r="AE78" s="10" t="n">
        <v>5.29</v>
      </c>
    </row>
    <row r="79" customFormat="false" ht="13.5" hidden="false" customHeight="false" outlineLevel="0" collapsed="false">
      <c r="A79" s="1" t="s">
        <v>145</v>
      </c>
      <c r="B79" s="1" t="s">
        <v>31</v>
      </c>
      <c r="C79" s="1" t="s">
        <v>146</v>
      </c>
      <c r="D79" s="1" t="s">
        <v>33</v>
      </c>
      <c r="E79" s="1" t="n">
        <v>1</v>
      </c>
      <c r="G79" s="1" t="s">
        <v>31</v>
      </c>
      <c r="H79" s="1" t="s">
        <v>147</v>
      </c>
      <c r="J79" s="2" t="n">
        <v>43863</v>
      </c>
      <c r="O79" s="1" t="n">
        <v>0</v>
      </c>
      <c r="P79" s="1" t="n">
        <v>23</v>
      </c>
      <c r="Q79" s="1" t="n">
        <v>22.22222222</v>
      </c>
      <c r="R79" s="2" t="n">
        <v>43865</v>
      </c>
      <c r="S79" s="3" t="n">
        <v>9.6</v>
      </c>
      <c r="T79" s="3" t="n">
        <v>0.7</v>
      </c>
      <c r="U79" s="3" t="n">
        <v>0.5</v>
      </c>
      <c r="V79" s="3" t="n">
        <v>208</v>
      </c>
      <c r="W79" s="2" t="n">
        <v>43865</v>
      </c>
      <c r="X79" s="4" t="s">
        <v>33</v>
      </c>
      <c r="Y79" s="4" t="n">
        <v>8</v>
      </c>
      <c r="Z79" s="4" t="n">
        <v>23</v>
      </c>
      <c r="AA79" s="4" t="n">
        <v>9</v>
      </c>
      <c r="AB79" s="4" t="n">
        <v>13.7</v>
      </c>
      <c r="AC79" s="4" t="n">
        <v>4.4</v>
      </c>
      <c r="AD79" s="4" t="n">
        <v>62</v>
      </c>
      <c r="AE79" s="10" t="n">
        <v>5.43</v>
      </c>
    </row>
    <row r="80" customFormat="false" ht="13.5" hidden="false" customHeight="false" outlineLevel="0" collapsed="false">
      <c r="A80" s="1" t="s">
        <v>148</v>
      </c>
      <c r="B80" s="1" t="s">
        <v>31</v>
      </c>
      <c r="C80" s="1" t="s">
        <v>149</v>
      </c>
      <c r="D80" s="1" t="s">
        <v>33</v>
      </c>
      <c r="E80" s="1" t="n">
        <v>1</v>
      </c>
      <c r="G80" s="1" t="s">
        <v>31</v>
      </c>
      <c r="H80" s="1" t="s">
        <v>150</v>
      </c>
      <c r="J80" s="2" t="n">
        <v>43864</v>
      </c>
      <c r="O80" s="1" t="n">
        <v>0</v>
      </c>
      <c r="P80" s="1" t="n">
        <v>32</v>
      </c>
      <c r="Q80" s="1" t="n">
        <v>24.8357635</v>
      </c>
      <c r="R80" s="2" t="n">
        <v>43865</v>
      </c>
      <c r="S80" s="3" t="n">
        <v>5.8</v>
      </c>
      <c r="T80" s="3" t="n">
        <v>2.2</v>
      </c>
      <c r="U80" s="3" t="n">
        <v>0.3</v>
      </c>
      <c r="V80" s="3" t="n">
        <v>230</v>
      </c>
      <c r="W80" s="2" t="n">
        <v>43865</v>
      </c>
      <c r="X80" s="4" t="s">
        <v>151</v>
      </c>
      <c r="Y80" s="4" t="n">
        <v>10</v>
      </c>
      <c r="Z80" s="4" t="n">
        <v>21</v>
      </c>
      <c r="AA80" s="4" t="n">
        <v>15</v>
      </c>
      <c r="AB80" s="4" t="n">
        <v>13</v>
      </c>
      <c r="AC80" s="4" t="n">
        <v>3.4</v>
      </c>
      <c r="AD80" s="4" t="n">
        <v>47</v>
      </c>
      <c r="AE80" s="10" t="n">
        <v>4.62</v>
      </c>
    </row>
    <row r="81" customFormat="false" ht="13.5" hidden="false" customHeight="false" outlineLevel="0" collapsed="false">
      <c r="A81" s="1" t="s">
        <v>152</v>
      </c>
      <c r="B81" s="1" t="s">
        <v>31</v>
      </c>
      <c r="C81" s="1" t="s">
        <v>153</v>
      </c>
      <c r="D81" s="1" t="s">
        <v>33</v>
      </c>
      <c r="E81" s="1" t="n">
        <v>1</v>
      </c>
      <c r="G81" s="1" t="s">
        <v>31</v>
      </c>
      <c r="H81" s="1" t="s">
        <v>154</v>
      </c>
      <c r="J81" s="2" t="n">
        <v>43864</v>
      </c>
      <c r="O81" s="1" t="n">
        <v>0</v>
      </c>
      <c r="P81" s="1" t="n">
        <v>25</v>
      </c>
      <c r="Q81" s="1" t="n">
        <v>21.8299522</v>
      </c>
      <c r="R81" s="2" t="n">
        <v>43864</v>
      </c>
      <c r="S81" s="3" t="n">
        <v>8.5</v>
      </c>
      <c r="T81" s="3" t="n">
        <v>1.2</v>
      </c>
      <c r="U81" s="3" t="n">
        <v>0.7</v>
      </c>
      <c r="V81" s="3" t="n">
        <v>240</v>
      </c>
      <c r="W81" s="2" t="n">
        <v>43864</v>
      </c>
      <c r="X81" s="4" t="n">
        <v>153.3</v>
      </c>
      <c r="Y81" s="4" t="n">
        <v>42</v>
      </c>
      <c r="Z81" s="4" t="n">
        <v>46</v>
      </c>
      <c r="AA81" s="4" t="n">
        <v>41</v>
      </c>
      <c r="AB81" s="4" t="n">
        <v>10.5</v>
      </c>
      <c r="AC81" s="4" t="n">
        <v>3.2</v>
      </c>
      <c r="AD81" s="4" t="n">
        <v>56</v>
      </c>
      <c r="AE81" s="10" t="n">
        <v>6.47</v>
      </c>
    </row>
    <row r="82" customFormat="false" ht="13.5" hidden="false" customHeight="false" outlineLevel="0" collapsed="false">
      <c r="A82" s="1" t="s">
        <v>155</v>
      </c>
      <c r="B82" s="1" t="s">
        <v>31</v>
      </c>
      <c r="C82" s="1" t="s">
        <v>156</v>
      </c>
      <c r="D82" s="1" t="s">
        <v>33</v>
      </c>
      <c r="E82" s="1" t="n">
        <v>1</v>
      </c>
      <c r="G82" s="1" t="s">
        <v>31</v>
      </c>
      <c r="H82" s="1" t="s">
        <v>157</v>
      </c>
      <c r="J82" s="2" t="n">
        <v>43867</v>
      </c>
      <c r="O82" s="1" t="n">
        <v>1</v>
      </c>
      <c r="P82" s="1" t="n">
        <v>38</v>
      </c>
      <c r="Q82" s="1" t="n">
        <v>27.44059917</v>
      </c>
      <c r="R82" s="2" t="n">
        <v>43867</v>
      </c>
      <c r="S82" s="3" t="n">
        <v>4.3</v>
      </c>
      <c r="T82" s="3" t="n">
        <v>0.8</v>
      </c>
      <c r="U82" s="3" t="n">
        <v>0.4</v>
      </c>
      <c r="V82" s="3" t="n">
        <v>236</v>
      </c>
      <c r="W82" s="2" t="n">
        <v>43867</v>
      </c>
      <c r="X82" s="4" t="n">
        <v>4.7</v>
      </c>
      <c r="Y82" s="4" t="n">
        <v>78</v>
      </c>
      <c r="Z82" s="4" t="n">
        <v>41</v>
      </c>
      <c r="AA82" s="4" t="n">
        <v>85</v>
      </c>
      <c r="AB82" s="4" t="n">
        <v>9.2</v>
      </c>
      <c r="AC82" s="4" t="n">
        <v>2.6</v>
      </c>
      <c r="AD82" s="4" t="n">
        <v>80</v>
      </c>
      <c r="AE82" s="10" t="n">
        <v>6.31</v>
      </c>
    </row>
    <row r="83" customFormat="false" ht="13.5" hidden="false" customHeight="false" outlineLevel="0" collapsed="false">
      <c r="A83" s="1" t="s">
        <v>158</v>
      </c>
      <c r="B83" s="1" t="s">
        <v>31</v>
      </c>
      <c r="C83" s="1" t="s">
        <v>159</v>
      </c>
      <c r="D83" s="1" t="s">
        <v>33</v>
      </c>
      <c r="E83" s="1" t="n">
        <v>1</v>
      </c>
      <c r="G83" s="1" t="s">
        <v>31</v>
      </c>
      <c r="H83" s="1" t="s">
        <v>160</v>
      </c>
      <c r="J83" s="2" t="n">
        <v>43864</v>
      </c>
      <c r="O83" s="1" t="n">
        <v>0</v>
      </c>
      <c r="P83" s="1" t="n">
        <v>67</v>
      </c>
      <c r="Q83" s="1" t="n">
        <v>25.15315023</v>
      </c>
      <c r="R83" s="2" t="n">
        <v>43865</v>
      </c>
      <c r="S83" s="3" t="n">
        <v>8.6</v>
      </c>
      <c r="T83" s="3" t="n">
        <v>0.7</v>
      </c>
      <c r="U83" s="3" t="n">
        <v>0.3</v>
      </c>
      <c r="V83" s="3" t="n">
        <v>216</v>
      </c>
      <c r="W83" s="2" t="n">
        <v>43865</v>
      </c>
      <c r="X83" s="4" t="n">
        <v>230.7</v>
      </c>
      <c r="Y83" s="4" t="n">
        <v>9</v>
      </c>
      <c r="Z83" s="4" t="n">
        <v>19</v>
      </c>
      <c r="AA83" s="4" t="n">
        <v>13</v>
      </c>
      <c r="AB83" s="4" t="n">
        <v>15.4</v>
      </c>
      <c r="AC83" s="4" t="n">
        <v>6.3</v>
      </c>
      <c r="AD83" s="4" t="n">
        <v>74</v>
      </c>
      <c r="AE83" s="10" t="n">
        <v>4.48</v>
      </c>
    </row>
    <row r="84" customFormat="false" ht="13.5" hidden="false" customHeight="false" outlineLevel="0" collapsed="false">
      <c r="A84" s="1" t="s">
        <v>161</v>
      </c>
      <c r="B84" s="1" t="s">
        <v>31</v>
      </c>
      <c r="C84" s="1" t="s">
        <v>162</v>
      </c>
      <c r="D84" s="1" t="s">
        <v>33</v>
      </c>
      <c r="E84" s="1" t="n">
        <v>1</v>
      </c>
      <c r="G84" s="1" t="s">
        <v>31</v>
      </c>
      <c r="H84" s="1" t="s">
        <v>163</v>
      </c>
      <c r="J84" s="2" t="n">
        <v>43868</v>
      </c>
      <c r="O84" s="1" t="n">
        <v>1</v>
      </c>
      <c r="P84" s="1" t="n">
        <v>35</v>
      </c>
      <c r="Q84" s="1" t="s">
        <v>33</v>
      </c>
      <c r="R84" s="2" t="n">
        <v>43869</v>
      </c>
      <c r="S84" s="3" t="n">
        <v>24.2</v>
      </c>
      <c r="T84" s="3" t="n">
        <v>0.5</v>
      </c>
      <c r="U84" s="3" t="n">
        <v>0.6</v>
      </c>
      <c r="V84" s="3" t="n">
        <v>275</v>
      </c>
      <c r="W84" s="2" t="n">
        <v>43869</v>
      </c>
      <c r="X84" s="4" t="n">
        <v>45.7</v>
      </c>
      <c r="Y84" s="4" t="n">
        <v>24</v>
      </c>
      <c r="Z84" s="4" t="n">
        <v>42</v>
      </c>
      <c r="AA84" s="4" t="n">
        <v>22</v>
      </c>
      <c r="AB84" s="4" t="n">
        <v>18.3</v>
      </c>
      <c r="AC84" s="4" t="n">
        <v>5.9</v>
      </c>
      <c r="AD84" s="4" t="n">
        <v>67</v>
      </c>
      <c r="AE84" s="10" t="n">
        <v>4.83</v>
      </c>
    </row>
    <row r="85" customFormat="false" ht="13.5" hidden="false" customHeight="false" outlineLevel="0" collapsed="false">
      <c r="A85" s="1" t="s">
        <v>164</v>
      </c>
      <c r="B85" s="1" t="s">
        <v>31</v>
      </c>
      <c r="C85" s="1" t="s">
        <v>165</v>
      </c>
      <c r="D85" s="1" t="s">
        <v>33</v>
      </c>
      <c r="E85" s="1" t="n">
        <v>1</v>
      </c>
      <c r="G85" s="1" t="s">
        <v>31</v>
      </c>
      <c r="H85" s="1" t="s">
        <v>166</v>
      </c>
      <c r="J85" s="2" t="n">
        <v>43866</v>
      </c>
      <c r="O85" s="1" t="n">
        <v>1</v>
      </c>
      <c r="P85" s="1" t="n">
        <v>47</v>
      </c>
      <c r="Q85" s="1" t="s">
        <v>33</v>
      </c>
      <c r="R85" s="2" t="n">
        <v>43867</v>
      </c>
      <c r="S85" s="3" t="n">
        <v>13.5</v>
      </c>
      <c r="T85" s="3" t="n">
        <v>1.5</v>
      </c>
      <c r="U85" s="3" t="n">
        <v>0.7</v>
      </c>
      <c r="V85" s="3" t="n">
        <v>214</v>
      </c>
      <c r="W85" s="2" t="n">
        <v>43867</v>
      </c>
      <c r="X85" s="4" t="n">
        <v>1.7</v>
      </c>
      <c r="Y85" s="4" t="n">
        <v>15</v>
      </c>
      <c r="Z85" s="4" t="n">
        <v>16</v>
      </c>
      <c r="AA85" s="4" t="n">
        <v>35</v>
      </c>
      <c r="AB85" s="4" t="n">
        <v>15.6</v>
      </c>
      <c r="AC85" s="4" t="n">
        <v>4.1</v>
      </c>
      <c r="AD85" s="4" t="n">
        <v>68</v>
      </c>
      <c r="AE85" s="10" t="n">
        <v>5.02</v>
      </c>
    </row>
    <row r="86" customFormat="false" ht="13.5" hidden="false" customHeight="false" outlineLevel="0" collapsed="false">
      <c r="A86" s="1" t="s">
        <v>167</v>
      </c>
      <c r="B86" s="1" t="s">
        <v>31</v>
      </c>
      <c r="C86" s="1" t="s">
        <v>168</v>
      </c>
      <c r="D86" s="1" t="s">
        <v>33</v>
      </c>
      <c r="E86" s="1" t="n">
        <v>1</v>
      </c>
      <c r="G86" s="1" t="s">
        <v>31</v>
      </c>
      <c r="H86" s="1" t="s">
        <v>169</v>
      </c>
      <c r="J86" s="2" t="n">
        <v>43866</v>
      </c>
      <c r="O86" s="1" t="n">
        <v>0</v>
      </c>
      <c r="P86" s="1" t="n">
        <v>41</v>
      </c>
      <c r="Q86" s="1" t="s">
        <v>33</v>
      </c>
      <c r="R86" s="2" t="n">
        <v>43867</v>
      </c>
      <c r="S86" s="3" t="n">
        <v>9.5</v>
      </c>
      <c r="T86" s="3" t="n">
        <v>0.3</v>
      </c>
      <c r="U86" s="3" t="n">
        <v>0.2</v>
      </c>
      <c r="V86" s="3" t="n">
        <v>214</v>
      </c>
      <c r="W86" s="2" t="n">
        <v>43867</v>
      </c>
      <c r="X86" s="4" t="n">
        <v>8.3</v>
      </c>
      <c r="Y86" s="4" t="n">
        <v>29</v>
      </c>
      <c r="Z86" s="4" t="n">
        <v>23</v>
      </c>
      <c r="AA86" s="4" t="n">
        <v>34</v>
      </c>
      <c r="AB86" s="4" t="n">
        <v>7.5</v>
      </c>
      <c r="AC86" s="4" t="n">
        <v>2.6</v>
      </c>
      <c r="AD86" s="4" t="n">
        <v>39</v>
      </c>
      <c r="AE86" s="10" t="n">
        <v>5.44</v>
      </c>
    </row>
    <row r="87" customFormat="false" ht="13.5" hidden="false" customHeight="false" outlineLevel="0" collapsed="false">
      <c r="A87" s="1" t="s">
        <v>170</v>
      </c>
      <c r="B87" s="1" t="s">
        <v>31</v>
      </c>
      <c r="C87" s="1" t="s">
        <v>171</v>
      </c>
      <c r="D87" s="1" t="s">
        <v>33</v>
      </c>
      <c r="E87" s="1" t="n">
        <v>1</v>
      </c>
      <c r="G87" s="1" t="s">
        <v>31</v>
      </c>
      <c r="H87" s="1" t="s">
        <v>172</v>
      </c>
      <c r="J87" s="2" t="n">
        <v>43866</v>
      </c>
      <c r="O87" s="1" t="n">
        <v>1</v>
      </c>
      <c r="P87" s="1" t="n">
        <v>61</v>
      </c>
      <c r="Q87" s="1" t="n">
        <v>24.69135802</v>
      </c>
      <c r="R87" s="2" t="n">
        <v>43867</v>
      </c>
      <c r="S87" s="3" t="n">
        <v>11</v>
      </c>
      <c r="T87" s="3" t="n">
        <v>1.3</v>
      </c>
      <c r="U87" s="3" t="n">
        <v>0.7</v>
      </c>
      <c r="V87" s="3" t="n">
        <v>166</v>
      </c>
      <c r="W87" s="2" t="n">
        <v>43867</v>
      </c>
      <c r="X87" s="4" t="n">
        <v>84.9</v>
      </c>
      <c r="Y87" s="4" t="n">
        <v>15</v>
      </c>
      <c r="Z87" s="4" t="n">
        <v>18</v>
      </c>
      <c r="AA87" s="4" t="n">
        <v>35</v>
      </c>
      <c r="AB87" s="4" t="n">
        <v>14.1</v>
      </c>
      <c r="AC87" s="4" t="n">
        <v>5.1</v>
      </c>
      <c r="AD87" s="4" t="n">
        <v>125</v>
      </c>
      <c r="AE87" s="10" t="n">
        <v>5.83</v>
      </c>
    </row>
    <row r="88" customFormat="false" ht="13.5" hidden="false" customHeight="false" outlineLevel="0" collapsed="false">
      <c r="A88" s="1" t="s">
        <v>173</v>
      </c>
      <c r="B88" s="1" t="s">
        <v>31</v>
      </c>
      <c r="C88" s="1" t="s">
        <v>174</v>
      </c>
      <c r="D88" s="1" t="s">
        <v>175</v>
      </c>
      <c r="E88" s="1" t="n">
        <v>1</v>
      </c>
      <c r="G88" s="1" t="s">
        <v>31</v>
      </c>
      <c r="H88" s="1" t="s">
        <v>176</v>
      </c>
      <c r="J88" s="2" t="n">
        <v>43865</v>
      </c>
      <c r="O88" s="1" t="n">
        <v>1</v>
      </c>
      <c r="P88" s="1" t="n">
        <v>67</v>
      </c>
      <c r="Q88" s="1" t="n">
        <v>21.87242282</v>
      </c>
      <c r="R88" s="2" t="n">
        <v>43865</v>
      </c>
      <c r="S88" s="3" t="n">
        <v>7.9</v>
      </c>
      <c r="T88" s="3" t="n">
        <v>4.1</v>
      </c>
      <c r="U88" s="3" t="n">
        <v>0.5</v>
      </c>
      <c r="V88" s="3" t="n">
        <v>137</v>
      </c>
      <c r="W88" s="2" t="n">
        <v>43867</v>
      </c>
      <c r="X88" s="4" t="n">
        <v>73.6</v>
      </c>
      <c r="Y88" s="4" t="n">
        <v>12</v>
      </c>
      <c r="Z88" s="4" t="n">
        <v>10</v>
      </c>
      <c r="AA88" s="4" t="n">
        <v>46</v>
      </c>
      <c r="AB88" s="4" t="n">
        <v>16.4</v>
      </c>
      <c r="AC88" s="4" t="n">
        <v>10</v>
      </c>
      <c r="AD88" s="4" t="n">
        <v>109</v>
      </c>
      <c r="AE88" s="10" t="n">
        <v>6.51</v>
      </c>
    </row>
    <row r="89" customFormat="false" ht="13.5" hidden="false" customHeight="false" outlineLevel="0" collapsed="false">
      <c r="A89" s="1" t="s">
        <v>177</v>
      </c>
      <c r="B89" s="1" t="s">
        <v>54</v>
      </c>
      <c r="C89" s="1" t="s">
        <v>33</v>
      </c>
      <c r="D89" s="1" t="s">
        <v>33</v>
      </c>
      <c r="E89" s="1" t="n">
        <v>1</v>
      </c>
      <c r="G89" s="1" t="s">
        <v>31</v>
      </c>
      <c r="H89" s="1" t="s">
        <v>178</v>
      </c>
      <c r="J89" s="2" t="n">
        <v>43861</v>
      </c>
      <c r="O89" s="1" t="n">
        <v>1</v>
      </c>
      <c r="P89" s="1" t="n">
        <v>48</v>
      </c>
      <c r="Q89" s="1" t="n">
        <v>24.72518293</v>
      </c>
      <c r="R89" s="2" t="n">
        <v>43861</v>
      </c>
      <c r="S89" s="3" t="n">
        <v>5.5</v>
      </c>
      <c r="T89" s="3" t="n">
        <v>1.4</v>
      </c>
      <c r="U89" s="3" t="n">
        <v>0.5</v>
      </c>
      <c r="V89" s="3" t="n">
        <v>189</v>
      </c>
      <c r="W89" s="2" t="n">
        <v>43862</v>
      </c>
      <c r="X89" s="4" t="n">
        <v>9.3</v>
      </c>
      <c r="Y89" s="4" t="n">
        <v>27</v>
      </c>
      <c r="Z89" s="4" t="n">
        <v>24</v>
      </c>
      <c r="AA89" s="4" t="n">
        <v>41</v>
      </c>
      <c r="AB89" s="4" t="n">
        <v>11.8</v>
      </c>
      <c r="AC89" s="4" t="n">
        <v>4.5</v>
      </c>
      <c r="AD89" s="4" t="n">
        <v>84</v>
      </c>
      <c r="AE89" s="10" t="n">
        <v>10.53</v>
      </c>
    </row>
    <row r="90" customFormat="false" ht="13.5" hidden="false" customHeight="false" outlineLevel="0" collapsed="false">
      <c r="A90" s="1" t="s">
        <v>179</v>
      </c>
      <c r="B90" s="1" t="s">
        <v>31</v>
      </c>
      <c r="C90" s="1" t="s">
        <v>180</v>
      </c>
      <c r="D90" s="1" t="s">
        <v>33</v>
      </c>
      <c r="E90" s="1" t="n">
        <v>1</v>
      </c>
      <c r="G90" s="1" t="s">
        <v>31</v>
      </c>
      <c r="H90" s="1" t="s">
        <v>181</v>
      </c>
      <c r="J90" s="2" t="n">
        <v>43872</v>
      </c>
      <c r="O90" s="1" t="n">
        <v>1</v>
      </c>
      <c r="P90" s="1" t="n">
        <v>45</v>
      </c>
      <c r="Q90" s="1" t="n">
        <v>20.0617284</v>
      </c>
      <c r="R90" s="2" t="n">
        <v>43872</v>
      </c>
      <c r="S90" s="3" t="n">
        <v>6.3</v>
      </c>
      <c r="T90" s="3" t="n">
        <v>1.1</v>
      </c>
      <c r="U90" s="3" t="n">
        <v>0.7</v>
      </c>
      <c r="V90" s="3" t="n">
        <v>210</v>
      </c>
      <c r="W90" s="2" t="n">
        <v>43873</v>
      </c>
      <c r="X90" s="4" t="n">
        <v>16.9</v>
      </c>
      <c r="Y90" s="4" t="n">
        <v>55</v>
      </c>
      <c r="Z90" s="4" t="n">
        <v>32</v>
      </c>
      <c r="AA90" s="4" t="n">
        <v>55</v>
      </c>
      <c r="AB90" s="4" t="n">
        <v>19.1</v>
      </c>
      <c r="AC90" s="4" t="n">
        <v>5.9</v>
      </c>
      <c r="AD90" s="4" t="n">
        <v>92</v>
      </c>
      <c r="AE90" s="10" t="n">
        <v>5.08</v>
      </c>
    </row>
    <row r="91" customFormat="false" ht="13.5" hidden="false" customHeight="false" outlineLevel="0" collapsed="false">
      <c r="A91" s="1" t="s">
        <v>182</v>
      </c>
      <c r="B91" s="1" t="s">
        <v>31</v>
      </c>
      <c r="C91" s="1" t="s">
        <v>183</v>
      </c>
      <c r="D91" s="1" t="s">
        <v>33</v>
      </c>
      <c r="E91" s="1" t="n">
        <v>1</v>
      </c>
      <c r="G91" s="1" t="s">
        <v>31</v>
      </c>
      <c r="H91" s="1" t="s">
        <v>184</v>
      </c>
      <c r="J91" s="2" t="n">
        <v>43871</v>
      </c>
      <c r="O91" s="1" t="n">
        <v>0</v>
      </c>
      <c r="P91" s="1" t="n">
        <v>24</v>
      </c>
      <c r="Q91" s="1" t="n">
        <v>19.140625</v>
      </c>
      <c r="R91" s="2" t="n">
        <v>43871</v>
      </c>
      <c r="S91" s="3" t="n">
        <v>7.5</v>
      </c>
      <c r="T91" s="3" t="n">
        <v>1.7</v>
      </c>
      <c r="U91" s="3" t="n">
        <v>0.9</v>
      </c>
      <c r="V91" s="3" t="n">
        <v>178</v>
      </c>
      <c r="W91" s="2" t="n">
        <v>43872</v>
      </c>
      <c r="X91" s="4" t="n">
        <v>15</v>
      </c>
      <c r="Y91" s="4" t="n">
        <v>9</v>
      </c>
      <c r="Z91" s="4" t="n">
        <v>17</v>
      </c>
      <c r="AA91" s="4" t="n">
        <v>16</v>
      </c>
      <c r="AB91" s="4" t="n">
        <v>8.8</v>
      </c>
      <c r="AC91" s="4" t="n">
        <v>3.1</v>
      </c>
      <c r="AD91" s="4" t="n">
        <v>57</v>
      </c>
      <c r="AE91" s="10" t="n">
        <v>6.11</v>
      </c>
    </row>
    <row r="92" customFormat="false" ht="13.5" hidden="false" customHeight="false" outlineLevel="0" collapsed="false">
      <c r="A92" s="1" t="s">
        <v>30</v>
      </c>
      <c r="B92" s="1" t="s">
        <v>31</v>
      </c>
      <c r="C92" s="1" t="s">
        <v>32</v>
      </c>
      <c r="D92" s="1" t="s">
        <v>33</v>
      </c>
      <c r="E92" s="1" t="n">
        <v>0</v>
      </c>
      <c r="G92" s="1" t="s">
        <v>31</v>
      </c>
      <c r="H92" s="1" t="s">
        <v>34</v>
      </c>
      <c r="O92" s="1" t="n">
        <v>1</v>
      </c>
      <c r="P92" s="1" t="n">
        <v>50</v>
      </c>
      <c r="Q92" s="1" t="n">
        <v>24.22145329</v>
      </c>
      <c r="R92" s="2"/>
      <c r="U92" s="3"/>
      <c r="V92" s="1"/>
      <c r="W92" s="2"/>
      <c r="X92" s="4"/>
      <c r="Y92" s="4"/>
      <c r="Z92" s="4"/>
      <c r="AC92" s="4"/>
      <c r="AD92" s="4"/>
    </row>
    <row r="93" customFormat="false" ht="13.5" hidden="false" customHeight="false" outlineLevel="0" collapsed="false">
      <c r="A93" s="1" t="s">
        <v>35</v>
      </c>
      <c r="B93" s="1" t="s">
        <v>31</v>
      </c>
      <c r="C93" s="1" t="s">
        <v>36</v>
      </c>
      <c r="D93" s="1" t="s">
        <v>33</v>
      </c>
      <c r="E93" s="1" t="n">
        <v>0</v>
      </c>
      <c r="G93" s="1" t="s">
        <v>31</v>
      </c>
      <c r="H93" s="1" t="s">
        <v>37</v>
      </c>
      <c r="O93" s="1" t="n">
        <v>1</v>
      </c>
      <c r="P93" s="1" t="n">
        <v>47</v>
      </c>
      <c r="Q93" s="1" t="n">
        <v>20.76124567</v>
      </c>
      <c r="R93" s="1"/>
      <c r="U93" s="3"/>
      <c r="V93" s="1"/>
      <c r="W93" s="2"/>
      <c r="X93" s="4"/>
      <c r="AA93" s="1"/>
      <c r="AC93" s="4"/>
    </row>
    <row r="94" customFormat="false" ht="13.5" hidden="false" customHeight="false" outlineLevel="0" collapsed="false">
      <c r="A94" s="1" t="s">
        <v>38</v>
      </c>
      <c r="B94" s="1" t="s">
        <v>31</v>
      </c>
      <c r="C94" s="1" t="s">
        <v>39</v>
      </c>
      <c r="D94" s="1" t="s">
        <v>33</v>
      </c>
      <c r="E94" s="1" t="n">
        <v>0</v>
      </c>
      <c r="G94" s="1" t="s">
        <v>31</v>
      </c>
      <c r="H94" s="1" t="s">
        <v>40</v>
      </c>
      <c r="O94" s="1" t="n">
        <v>1</v>
      </c>
      <c r="P94" s="1" t="n">
        <v>51</v>
      </c>
      <c r="Q94" s="1" t="n">
        <v>24.22145329</v>
      </c>
      <c r="R94" s="1"/>
      <c r="U94" s="3"/>
      <c r="V94" s="1"/>
      <c r="W94" s="2"/>
      <c r="X94" s="4"/>
      <c r="AA94" s="1"/>
      <c r="AC94" s="4"/>
    </row>
    <row r="95" customFormat="false" ht="13.5" hidden="false" customHeight="false" outlineLevel="0" collapsed="false">
      <c r="A95" s="1" t="s">
        <v>41</v>
      </c>
      <c r="B95" s="1" t="s">
        <v>31</v>
      </c>
      <c r="C95" s="1" t="s">
        <v>42</v>
      </c>
      <c r="D95" s="1" t="s">
        <v>33</v>
      </c>
      <c r="E95" s="1" t="n">
        <v>0</v>
      </c>
      <c r="G95" s="1" t="s">
        <v>31</v>
      </c>
      <c r="H95" s="1" t="s">
        <v>43</v>
      </c>
      <c r="O95" s="1" t="n">
        <v>1</v>
      </c>
      <c r="P95" s="1" t="n">
        <v>54</v>
      </c>
      <c r="Q95" s="1" t="n">
        <v>26.64359862</v>
      </c>
      <c r="R95" s="1"/>
      <c r="U95" s="3"/>
      <c r="V95" s="1"/>
      <c r="W95" s="2"/>
      <c r="X95" s="4"/>
      <c r="AA95" s="1"/>
      <c r="AC95" s="4"/>
    </row>
    <row r="96" customFormat="false" ht="13.5" hidden="false" customHeight="false" outlineLevel="0" collapsed="false">
      <c r="A96" s="1" t="s">
        <v>44</v>
      </c>
      <c r="B96" s="1" t="s">
        <v>31</v>
      </c>
      <c r="C96" s="1" t="s">
        <v>45</v>
      </c>
      <c r="D96" s="1" t="s">
        <v>33</v>
      </c>
      <c r="E96" s="1" t="n">
        <v>0</v>
      </c>
      <c r="G96" s="1" t="s">
        <v>31</v>
      </c>
      <c r="H96" s="1" t="s">
        <v>46</v>
      </c>
      <c r="O96" s="1" t="n">
        <v>1</v>
      </c>
      <c r="P96" s="1" t="n">
        <v>37</v>
      </c>
      <c r="Q96" s="1" t="n">
        <v>24.22145329</v>
      </c>
      <c r="R96" s="1"/>
      <c r="U96" s="3"/>
      <c r="V96" s="1"/>
      <c r="W96" s="2"/>
      <c r="X96" s="4"/>
      <c r="AA96" s="1"/>
      <c r="AC96" s="4"/>
    </row>
    <row r="97" customFormat="false" ht="13.5" hidden="false" customHeight="false" outlineLevel="0" collapsed="false">
      <c r="A97" s="1" t="s">
        <v>47</v>
      </c>
      <c r="B97" s="1" t="s">
        <v>31</v>
      </c>
      <c r="C97" s="1" t="s">
        <v>48</v>
      </c>
      <c r="D97" s="1" t="s">
        <v>33</v>
      </c>
      <c r="E97" s="1" t="n">
        <v>0</v>
      </c>
      <c r="G97" s="1" t="s">
        <v>31</v>
      </c>
      <c r="H97" s="1" t="s">
        <v>49</v>
      </c>
      <c r="O97" s="1" t="n">
        <v>0</v>
      </c>
      <c r="P97" s="1" t="n">
        <v>44</v>
      </c>
      <c r="Q97" s="1" t="n">
        <v>23.4375</v>
      </c>
      <c r="R97" s="1"/>
      <c r="U97" s="3"/>
      <c r="V97" s="1"/>
      <c r="W97" s="2"/>
      <c r="X97" s="4"/>
      <c r="AA97" s="1"/>
      <c r="AC97" s="4"/>
    </row>
    <row r="98" customFormat="false" ht="13.5" hidden="false" customHeight="false" outlineLevel="0" collapsed="false">
      <c r="A98" s="1" t="s">
        <v>50</v>
      </c>
      <c r="B98" s="1" t="s">
        <v>31</v>
      </c>
      <c r="C98" s="1" t="s">
        <v>51</v>
      </c>
      <c r="D98" s="1" t="s">
        <v>33</v>
      </c>
      <c r="E98" s="1" t="n">
        <v>0</v>
      </c>
      <c r="G98" s="1" t="s">
        <v>31</v>
      </c>
      <c r="H98" s="1" t="s">
        <v>52</v>
      </c>
      <c r="O98" s="1" t="n">
        <v>1</v>
      </c>
      <c r="P98" s="1" t="n">
        <v>30</v>
      </c>
      <c r="Q98" s="1" t="n">
        <v>25.95155709</v>
      </c>
      <c r="R98" s="1"/>
      <c r="U98" s="3"/>
      <c r="V98" s="1"/>
      <c r="W98" s="2"/>
      <c r="X98" s="4"/>
      <c r="AA98" s="1"/>
      <c r="AC98" s="4"/>
    </row>
    <row r="99" customFormat="false" ht="13.5" hidden="false" customHeight="false" outlineLevel="0" collapsed="false">
      <c r="A99" s="1" t="s">
        <v>53</v>
      </c>
      <c r="B99" s="1" t="s">
        <v>54</v>
      </c>
      <c r="C99" s="1" t="s">
        <v>33</v>
      </c>
      <c r="D99" s="1" t="s">
        <v>33</v>
      </c>
      <c r="E99" s="1" t="n">
        <v>0</v>
      </c>
      <c r="G99" s="1" t="s">
        <v>31</v>
      </c>
      <c r="H99" s="1" t="s">
        <v>55</v>
      </c>
      <c r="O99" s="1" t="n">
        <v>1</v>
      </c>
      <c r="P99" s="1" t="n">
        <v>29</v>
      </c>
      <c r="Q99" s="1" t="n">
        <v>26.64359862</v>
      </c>
      <c r="R99" s="1"/>
      <c r="U99" s="3"/>
      <c r="V99" s="1"/>
      <c r="W99" s="2"/>
      <c r="X99" s="4"/>
      <c r="AA99" s="1"/>
      <c r="AC99" s="4"/>
    </row>
    <row r="100" customFormat="false" ht="13.5" hidden="false" customHeight="false" outlineLevel="0" collapsed="false">
      <c r="A100" s="1" t="s">
        <v>56</v>
      </c>
      <c r="B100" s="1" t="s">
        <v>31</v>
      </c>
      <c r="C100" s="1" t="s">
        <v>57</v>
      </c>
      <c r="D100" s="1" t="s">
        <v>33</v>
      </c>
      <c r="E100" s="1" t="n">
        <v>0</v>
      </c>
      <c r="G100" s="1" t="s">
        <v>31</v>
      </c>
      <c r="H100" s="1" t="s">
        <v>58</v>
      </c>
      <c r="O100" s="1" t="n">
        <v>0</v>
      </c>
      <c r="P100" s="1" t="n">
        <v>53</v>
      </c>
      <c r="Q100" s="1" t="n">
        <v>23.046875</v>
      </c>
      <c r="R100" s="1"/>
      <c r="U100" s="3"/>
      <c r="V100" s="1"/>
      <c r="W100" s="2"/>
      <c r="X100" s="4"/>
      <c r="AA100" s="1"/>
      <c r="AC100" s="4"/>
    </row>
    <row r="101" customFormat="false" ht="13.5" hidden="false" customHeight="false" outlineLevel="0" collapsed="false">
      <c r="A101" s="1" t="s">
        <v>59</v>
      </c>
      <c r="B101" s="1" t="s">
        <v>31</v>
      </c>
      <c r="C101" s="1" t="s">
        <v>60</v>
      </c>
      <c r="D101" s="1" t="s">
        <v>33</v>
      </c>
      <c r="E101" s="1" t="n">
        <v>0</v>
      </c>
      <c r="G101" s="1" t="s">
        <v>31</v>
      </c>
      <c r="H101" s="1" t="s">
        <v>61</v>
      </c>
      <c r="O101" s="1" t="n">
        <v>1</v>
      </c>
      <c r="P101" s="1" t="n">
        <v>57</v>
      </c>
      <c r="Q101" s="1" t="n">
        <v>26.98961938</v>
      </c>
      <c r="R101" s="1"/>
      <c r="U101" s="3"/>
      <c r="V101" s="1"/>
      <c r="W101" s="2"/>
      <c r="X101" s="4"/>
      <c r="AA101" s="1"/>
      <c r="AC101" s="4"/>
    </row>
    <row r="102" customFormat="false" ht="13.5" hidden="false" customHeight="false" outlineLevel="0" collapsed="false">
      <c r="A102" s="1" t="s">
        <v>62</v>
      </c>
      <c r="B102" s="1" t="s">
        <v>54</v>
      </c>
      <c r="C102" s="1" t="s">
        <v>33</v>
      </c>
      <c r="D102" s="1" t="s">
        <v>33</v>
      </c>
      <c r="E102" s="1" t="n">
        <v>0</v>
      </c>
      <c r="G102" s="1" t="s">
        <v>31</v>
      </c>
      <c r="H102" s="1" t="s">
        <v>63</v>
      </c>
      <c r="O102" s="1" t="n">
        <v>1</v>
      </c>
      <c r="P102" s="1" t="n">
        <v>41</v>
      </c>
      <c r="Q102" s="1" t="n">
        <v>25.95155709</v>
      </c>
      <c r="R102" s="1"/>
      <c r="U102" s="3"/>
      <c r="V102" s="1"/>
      <c r="W102" s="2"/>
      <c r="X102" s="4"/>
      <c r="AA102" s="1"/>
      <c r="AC102" s="4"/>
    </row>
    <row r="103" customFormat="false" ht="13.5" hidden="false" customHeight="false" outlineLevel="0" collapsed="false">
      <c r="A103" s="1" t="s">
        <v>64</v>
      </c>
      <c r="B103" s="1" t="s">
        <v>31</v>
      </c>
      <c r="C103" s="1" t="s">
        <v>65</v>
      </c>
      <c r="D103" s="1" t="s">
        <v>33</v>
      </c>
      <c r="E103" s="1" t="n">
        <v>0</v>
      </c>
      <c r="G103" s="1" t="s">
        <v>31</v>
      </c>
      <c r="H103" s="1" t="s">
        <v>66</v>
      </c>
      <c r="O103" s="1" t="n">
        <v>1</v>
      </c>
      <c r="P103" s="1" t="n">
        <v>49</v>
      </c>
      <c r="Q103" s="1" t="n">
        <v>25.60553633</v>
      </c>
      <c r="R103" s="1"/>
      <c r="U103" s="3"/>
      <c r="V103" s="1"/>
      <c r="W103" s="2"/>
      <c r="X103" s="4"/>
      <c r="AA103" s="1"/>
      <c r="AC103" s="4"/>
    </row>
    <row r="104" customFormat="false" ht="13.5" hidden="false" customHeight="false" outlineLevel="0" collapsed="false">
      <c r="A104" s="1" t="s">
        <v>67</v>
      </c>
      <c r="B104" s="1" t="s">
        <v>31</v>
      </c>
      <c r="C104" s="1" t="s">
        <v>68</v>
      </c>
      <c r="D104" s="1" t="s">
        <v>33</v>
      </c>
      <c r="E104" s="1" t="n">
        <v>0</v>
      </c>
      <c r="G104" s="1" t="s">
        <v>31</v>
      </c>
      <c r="H104" s="1" t="s">
        <v>69</v>
      </c>
      <c r="O104" s="1" t="n">
        <v>1</v>
      </c>
      <c r="P104" s="1" t="n">
        <v>46</v>
      </c>
      <c r="Q104" s="1" t="n">
        <v>24.56747405</v>
      </c>
      <c r="R104" s="1"/>
      <c r="U104" s="3"/>
      <c r="V104" s="1"/>
      <c r="W104" s="2"/>
      <c r="X104" s="4"/>
      <c r="AA104" s="1"/>
      <c r="AC104" s="4"/>
    </row>
    <row r="105" customFormat="false" ht="13.5" hidden="false" customHeight="false" outlineLevel="0" collapsed="false">
      <c r="A105" s="1" t="s">
        <v>70</v>
      </c>
      <c r="B105" s="1" t="s">
        <v>54</v>
      </c>
      <c r="C105" s="1" t="s">
        <v>33</v>
      </c>
      <c r="D105" s="1" t="s">
        <v>33</v>
      </c>
      <c r="E105" s="1" t="n">
        <v>0</v>
      </c>
      <c r="G105" s="1" t="s">
        <v>31</v>
      </c>
      <c r="H105" s="1" t="s">
        <v>71</v>
      </c>
      <c r="O105" s="1" t="n">
        <v>1</v>
      </c>
      <c r="P105" s="1" t="n">
        <v>34</v>
      </c>
      <c r="Q105" s="1" t="n">
        <v>23.52941176</v>
      </c>
      <c r="R105" s="1"/>
      <c r="U105" s="3"/>
      <c r="V105" s="1"/>
      <c r="W105" s="2"/>
      <c r="X105" s="4"/>
      <c r="AA105" s="1"/>
      <c r="AC105" s="4"/>
    </row>
    <row r="106" customFormat="false" ht="13.5" hidden="false" customHeight="false" outlineLevel="0" collapsed="false">
      <c r="A106" s="1" t="s">
        <v>72</v>
      </c>
      <c r="B106" s="1" t="s">
        <v>54</v>
      </c>
      <c r="C106" s="1" t="s">
        <v>33</v>
      </c>
      <c r="D106" s="1" t="s">
        <v>33</v>
      </c>
      <c r="E106" s="1" t="n">
        <v>0</v>
      </c>
      <c r="G106" s="1" t="s">
        <v>31</v>
      </c>
      <c r="H106" s="1" t="s">
        <v>73</v>
      </c>
      <c r="O106" s="1" t="n">
        <v>1</v>
      </c>
      <c r="P106" s="1" t="n">
        <v>41</v>
      </c>
      <c r="Q106" s="1" t="n">
        <v>24.22145329</v>
      </c>
      <c r="R106" s="1"/>
      <c r="U106" s="3"/>
      <c r="V106" s="1"/>
      <c r="W106" s="2"/>
      <c r="X106" s="4"/>
      <c r="AA106" s="1"/>
      <c r="AC106" s="4"/>
    </row>
    <row r="107" customFormat="false" ht="13.5" hidden="false" customHeight="false" outlineLevel="0" collapsed="false">
      <c r="A107" s="1" t="s">
        <v>74</v>
      </c>
      <c r="B107" s="1" t="s">
        <v>54</v>
      </c>
      <c r="C107" s="1" t="s">
        <v>33</v>
      </c>
      <c r="D107" s="1" t="s">
        <v>33</v>
      </c>
      <c r="E107" s="1" t="n">
        <v>0</v>
      </c>
      <c r="G107" s="1" t="s">
        <v>31</v>
      </c>
      <c r="H107" s="1" t="s">
        <v>75</v>
      </c>
      <c r="O107" s="1" t="n">
        <v>1</v>
      </c>
      <c r="P107" s="1" t="n">
        <v>39</v>
      </c>
      <c r="Q107" s="1" t="n">
        <v>22.49134948</v>
      </c>
      <c r="R107" s="1"/>
      <c r="U107" s="3"/>
      <c r="V107" s="1"/>
      <c r="W107" s="2"/>
      <c r="X107" s="4"/>
      <c r="AA107" s="1"/>
      <c r="AC107" s="4"/>
    </row>
    <row r="108" customFormat="false" ht="13.5" hidden="false" customHeight="false" outlineLevel="0" collapsed="false">
      <c r="A108" s="1" t="s">
        <v>76</v>
      </c>
      <c r="B108" s="1" t="s">
        <v>31</v>
      </c>
      <c r="C108" s="1" t="s">
        <v>77</v>
      </c>
      <c r="D108" s="1" t="s">
        <v>33</v>
      </c>
      <c r="E108" s="1" t="n">
        <v>0</v>
      </c>
      <c r="G108" s="1" t="s">
        <v>31</v>
      </c>
      <c r="H108" s="1" t="s">
        <v>78</v>
      </c>
      <c r="O108" s="1" t="n">
        <v>0</v>
      </c>
      <c r="P108" s="1" t="n">
        <v>50</v>
      </c>
      <c r="Q108" s="1" t="n">
        <v>21.484375</v>
      </c>
      <c r="R108" s="1"/>
      <c r="U108" s="3"/>
      <c r="V108" s="1"/>
      <c r="W108" s="2"/>
      <c r="X108" s="4"/>
      <c r="AA108" s="1"/>
      <c r="AC108" s="4"/>
    </row>
    <row r="109" customFormat="false" ht="13.5" hidden="false" customHeight="false" outlineLevel="0" collapsed="false">
      <c r="A109" s="1" t="s">
        <v>79</v>
      </c>
      <c r="B109" s="1" t="s">
        <v>54</v>
      </c>
      <c r="C109" s="1" t="s">
        <v>33</v>
      </c>
      <c r="D109" s="1" t="s">
        <v>33</v>
      </c>
      <c r="E109" s="1" t="n">
        <v>0</v>
      </c>
      <c r="G109" s="1" t="s">
        <v>31</v>
      </c>
      <c r="H109" s="1" t="s">
        <v>80</v>
      </c>
      <c r="O109" s="1" t="n">
        <v>1</v>
      </c>
      <c r="P109" s="1" t="n">
        <v>49</v>
      </c>
      <c r="Q109" s="1" t="n">
        <v>22.49134948</v>
      </c>
      <c r="R109" s="1"/>
      <c r="U109" s="3"/>
      <c r="V109" s="1"/>
      <c r="W109" s="2"/>
      <c r="X109" s="4"/>
      <c r="AA109" s="1"/>
      <c r="AC109" s="4"/>
    </row>
    <row r="110" customFormat="false" ht="13.5" hidden="false" customHeight="false" outlineLevel="0" collapsed="false">
      <c r="A110" s="1" t="s">
        <v>81</v>
      </c>
      <c r="B110" s="1" t="s">
        <v>31</v>
      </c>
      <c r="C110" s="1" t="s">
        <v>82</v>
      </c>
      <c r="D110" s="1" t="s">
        <v>33</v>
      </c>
      <c r="E110" s="1" t="n">
        <v>0</v>
      </c>
      <c r="G110" s="1" t="s">
        <v>31</v>
      </c>
      <c r="H110" s="1" t="s">
        <v>83</v>
      </c>
      <c r="O110" s="1" t="n">
        <v>0</v>
      </c>
      <c r="P110" s="1" t="n">
        <v>52</v>
      </c>
      <c r="Q110" s="1" t="n">
        <v>23.4375</v>
      </c>
      <c r="R110" s="1"/>
      <c r="U110" s="3"/>
      <c r="V110" s="1"/>
      <c r="W110" s="2"/>
      <c r="X110" s="4"/>
      <c r="AA110" s="1"/>
      <c r="AC110" s="4"/>
    </row>
    <row r="111" customFormat="false" ht="13.5" hidden="false" customHeight="false" outlineLevel="0" collapsed="false">
      <c r="A111" s="1" t="s">
        <v>84</v>
      </c>
      <c r="B111" s="1" t="s">
        <v>31</v>
      </c>
      <c r="C111" s="1" t="s">
        <v>85</v>
      </c>
      <c r="D111" s="1" t="s">
        <v>33</v>
      </c>
      <c r="E111" s="1" t="n">
        <v>0</v>
      </c>
      <c r="G111" s="1" t="s">
        <v>31</v>
      </c>
      <c r="H111" s="1" t="s">
        <v>86</v>
      </c>
      <c r="O111" s="1" t="n">
        <v>0</v>
      </c>
      <c r="P111" s="1" t="n">
        <v>38</v>
      </c>
      <c r="Q111" s="1" t="n">
        <v>23.4375</v>
      </c>
      <c r="R111" s="1"/>
      <c r="U111" s="3"/>
      <c r="V111" s="1"/>
      <c r="W111" s="2"/>
      <c r="X111" s="4"/>
      <c r="AA111" s="1"/>
      <c r="AC111" s="4"/>
    </row>
    <row r="112" customFormat="false" ht="13.5" hidden="false" customHeight="false" outlineLevel="0" collapsed="false">
      <c r="A112" s="1" t="s">
        <v>87</v>
      </c>
      <c r="B112" s="1" t="s">
        <v>54</v>
      </c>
      <c r="C112" s="1" t="s">
        <v>33</v>
      </c>
      <c r="D112" s="1" t="s">
        <v>33</v>
      </c>
      <c r="E112" s="1" t="n">
        <v>0</v>
      </c>
      <c r="G112" s="1" t="s">
        <v>31</v>
      </c>
      <c r="H112" s="1" t="s">
        <v>88</v>
      </c>
      <c r="O112" s="1" t="n">
        <v>1</v>
      </c>
      <c r="P112" s="1" t="n">
        <v>55</v>
      </c>
      <c r="Q112" s="1" t="n">
        <v>22.49134948</v>
      </c>
      <c r="R112" s="1"/>
      <c r="U112" s="3"/>
      <c r="V112" s="1"/>
      <c r="W112" s="2"/>
      <c r="X112" s="4"/>
      <c r="AA112" s="1"/>
      <c r="AC112" s="4"/>
    </row>
    <row r="113" customFormat="false" ht="13.5" hidden="false" customHeight="false" outlineLevel="0" collapsed="false">
      <c r="A113" s="1" t="s">
        <v>89</v>
      </c>
      <c r="B113" s="1" t="s">
        <v>31</v>
      </c>
      <c r="C113" s="1" t="s">
        <v>90</v>
      </c>
      <c r="D113" s="1" t="s">
        <v>91</v>
      </c>
      <c r="E113" s="1" t="n">
        <v>0</v>
      </c>
      <c r="G113" s="1" t="s">
        <v>31</v>
      </c>
      <c r="H113" s="1" t="s">
        <v>92</v>
      </c>
      <c r="O113" s="1" t="n">
        <v>1</v>
      </c>
      <c r="P113" s="1" t="n">
        <v>51</v>
      </c>
      <c r="Q113" s="1" t="n">
        <v>26.98961938</v>
      </c>
      <c r="R113" s="1"/>
      <c r="U113" s="3"/>
      <c r="V113" s="1"/>
      <c r="W113" s="2"/>
      <c r="X113" s="4"/>
      <c r="AA113" s="1"/>
      <c r="AC113" s="4"/>
    </row>
    <row r="114" customFormat="false" ht="13.5" hidden="false" customHeight="false" outlineLevel="0" collapsed="false">
      <c r="A114" s="1" t="s">
        <v>93</v>
      </c>
      <c r="B114" s="1" t="s">
        <v>31</v>
      </c>
      <c r="C114" s="1" t="s">
        <v>94</v>
      </c>
      <c r="D114" s="1" t="s">
        <v>33</v>
      </c>
      <c r="E114" s="1" t="n">
        <v>0</v>
      </c>
      <c r="G114" s="1" t="s">
        <v>31</v>
      </c>
      <c r="H114" s="1" t="s">
        <v>95</v>
      </c>
      <c r="O114" s="1" t="n">
        <v>1</v>
      </c>
      <c r="P114" s="1" t="n">
        <v>43</v>
      </c>
      <c r="Q114" s="1" t="n">
        <v>22.49134948</v>
      </c>
      <c r="R114" s="1"/>
      <c r="U114" s="3"/>
      <c r="V114" s="1"/>
      <c r="W114" s="2"/>
      <c r="X114" s="4"/>
      <c r="AA114" s="1"/>
      <c r="AC114" s="4"/>
    </row>
    <row r="115" customFormat="false" ht="13.5" hidden="false" customHeight="false" outlineLevel="0" collapsed="false">
      <c r="A115" s="1" t="s">
        <v>96</v>
      </c>
      <c r="B115" s="1" t="s">
        <v>31</v>
      </c>
      <c r="C115" s="1" t="s">
        <v>97</v>
      </c>
      <c r="D115" s="1" t="s">
        <v>33</v>
      </c>
      <c r="E115" s="1" t="n">
        <v>0</v>
      </c>
      <c r="G115" s="1" t="s">
        <v>31</v>
      </c>
      <c r="H115" s="1" t="s">
        <v>98</v>
      </c>
      <c r="O115" s="1" t="n">
        <v>0</v>
      </c>
      <c r="P115" s="1" t="n">
        <v>38</v>
      </c>
      <c r="Q115" s="1" t="n">
        <v>19.921875</v>
      </c>
      <c r="R115" s="1"/>
      <c r="U115" s="3"/>
      <c r="V115" s="1"/>
      <c r="W115" s="2"/>
      <c r="X115" s="4"/>
      <c r="AA115" s="1"/>
      <c r="AC115" s="4"/>
    </row>
    <row r="116" customFormat="false" ht="13.5" hidden="false" customHeight="false" outlineLevel="0" collapsed="false">
      <c r="A116" s="1" t="s">
        <v>99</v>
      </c>
      <c r="B116" s="1" t="s">
        <v>31</v>
      </c>
      <c r="C116" s="1" t="s">
        <v>100</v>
      </c>
      <c r="D116" s="1" t="s">
        <v>33</v>
      </c>
      <c r="E116" s="1" t="n">
        <v>0</v>
      </c>
      <c r="G116" s="1" t="s">
        <v>31</v>
      </c>
      <c r="H116" s="1" t="s">
        <v>101</v>
      </c>
      <c r="O116" s="1" t="n">
        <v>0</v>
      </c>
      <c r="P116" s="1" t="n">
        <v>44</v>
      </c>
      <c r="Q116" s="1" t="n">
        <v>20.703125</v>
      </c>
      <c r="R116" s="1"/>
      <c r="U116" s="3"/>
      <c r="V116" s="1"/>
      <c r="W116" s="2"/>
      <c r="X116" s="4"/>
      <c r="AA116" s="1"/>
      <c r="AC116" s="4"/>
    </row>
    <row r="117" customFormat="false" ht="13.5" hidden="false" customHeight="false" outlineLevel="0" collapsed="false">
      <c r="A117" s="1" t="s">
        <v>102</v>
      </c>
      <c r="B117" s="1" t="s">
        <v>31</v>
      </c>
      <c r="C117" s="1" t="s">
        <v>103</v>
      </c>
      <c r="D117" s="1" t="s">
        <v>33</v>
      </c>
      <c r="E117" s="1" t="n">
        <v>0</v>
      </c>
      <c r="G117" s="1" t="s">
        <v>54</v>
      </c>
      <c r="H117" s="1" t="s">
        <v>33</v>
      </c>
      <c r="O117" s="1" t="n">
        <v>1</v>
      </c>
      <c r="P117" s="1" t="n">
        <v>28</v>
      </c>
      <c r="Q117" s="1" t="n">
        <v>27.6816609</v>
      </c>
      <c r="R117" s="1"/>
      <c r="U117" s="3"/>
      <c r="V117" s="1"/>
      <c r="W117" s="2"/>
      <c r="X117" s="4"/>
      <c r="AA117" s="1"/>
      <c r="AC117" s="4"/>
    </row>
    <row r="118" customFormat="false" ht="13.5" hidden="false" customHeight="false" outlineLevel="0" collapsed="false">
      <c r="A118" s="1" t="s">
        <v>104</v>
      </c>
      <c r="B118" s="1" t="s">
        <v>31</v>
      </c>
      <c r="C118" s="1" t="s">
        <v>105</v>
      </c>
      <c r="D118" s="1" t="s">
        <v>33</v>
      </c>
      <c r="E118" s="1" t="n">
        <v>0</v>
      </c>
      <c r="G118" s="1" t="s">
        <v>54</v>
      </c>
      <c r="H118" s="1" t="s">
        <v>33</v>
      </c>
      <c r="O118" s="1" t="n">
        <v>1</v>
      </c>
      <c r="P118" s="1" t="n">
        <v>38</v>
      </c>
      <c r="Q118" s="1" t="n">
        <v>32.87197232</v>
      </c>
      <c r="R118" s="1"/>
      <c r="U118" s="3"/>
      <c r="V118" s="1"/>
      <c r="W118" s="2"/>
      <c r="X118" s="4"/>
      <c r="AA118" s="1"/>
      <c r="AC118" s="4"/>
    </row>
    <row r="119" customFormat="false" ht="13.5" hidden="false" customHeight="false" outlineLevel="0" collapsed="false">
      <c r="A119" s="1" t="s">
        <v>106</v>
      </c>
      <c r="B119" s="1" t="s">
        <v>31</v>
      </c>
      <c r="C119" s="1" t="s">
        <v>107</v>
      </c>
      <c r="D119" s="1" t="s">
        <v>33</v>
      </c>
      <c r="E119" s="1" t="n">
        <v>0</v>
      </c>
      <c r="G119" s="1" t="s">
        <v>54</v>
      </c>
      <c r="H119" s="1" t="s">
        <v>33</v>
      </c>
      <c r="O119" s="1" t="n">
        <v>1</v>
      </c>
      <c r="P119" s="1" t="n">
        <v>54</v>
      </c>
      <c r="Q119" s="1" t="n">
        <v>27.6816609</v>
      </c>
    </row>
    <row r="123" customFormat="false" ht="13.5" hidden="false" customHeight="false" outlineLevel="0" collapsed="false">
      <c r="C123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2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K66" activeCellId="2" sqref="X:AE S:V K66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2.66"/>
    <col collapsed="false" customWidth="true" hidden="false" outlineLevel="0" max="3" min="3" style="1" width="15.83"/>
    <col collapsed="false" customWidth="true" hidden="false" outlineLevel="0" max="4" min="4" style="1" width="11.83"/>
    <col collapsed="false" customWidth="true" hidden="false" outlineLevel="0" max="5" min="5" style="1" width="9.83"/>
    <col collapsed="false" customWidth="true" hidden="false" outlineLevel="0" max="6" min="6" style="1" width="15.83"/>
    <col collapsed="false" customWidth="true" hidden="false" outlineLevel="0" max="7" min="7" style="1" width="14.66"/>
    <col collapsed="false" customWidth="true" hidden="false" outlineLevel="0" max="8" min="8" style="1" width="15.83"/>
    <col collapsed="false" customWidth="true" hidden="false" outlineLevel="0" max="9" min="9" style="2" width="11.66"/>
    <col collapsed="false" customWidth="true" hidden="false" outlineLevel="0" max="10" min="10" style="2" width="15.83"/>
    <col collapsed="false" customWidth="true" hidden="false" outlineLevel="0" max="11" min="11" style="2" width="14"/>
    <col collapsed="false" customWidth="true" hidden="false" outlineLevel="0" max="13" min="12" style="2" width="9.83"/>
    <col collapsed="false" customWidth="true" hidden="false" outlineLevel="0" max="14" min="14" style="2" width="11.66"/>
    <col collapsed="false" customWidth="false" hidden="false" outlineLevel="0" max="15" min="15" style="1" width="9"/>
    <col collapsed="false" customWidth="false" hidden="false" outlineLevel="0" max="16" min="16" style="13" width="9"/>
    <col collapsed="false" customWidth="true" hidden="false" outlineLevel="0" max="17" min="17" style="13" width="11.33"/>
    <col collapsed="false" customWidth="false" hidden="false" outlineLevel="0" max="18" min="18" style="3" width="9"/>
    <col collapsed="false" customWidth="true" hidden="false" outlineLevel="0" max="19" min="19" style="14" width="12"/>
    <col collapsed="false" customWidth="true" hidden="false" outlineLevel="0" max="20" min="20" style="14" width="10.17"/>
    <col collapsed="false" customWidth="false" hidden="false" outlineLevel="0" max="21" min="21" style="13" width="9"/>
    <col collapsed="false" customWidth="true" hidden="false" outlineLevel="0" max="22" min="22" style="15" width="9.51"/>
    <col collapsed="false" customWidth="false" hidden="false" outlineLevel="0" max="23" min="23" style="4" width="9"/>
    <col collapsed="false" customWidth="false" hidden="false" outlineLevel="0" max="26" min="24" style="13" width="9"/>
    <col collapsed="false" customWidth="false" hidden="false" outlineLevel="0" max="28" min="27" style="16" width="9"/>
    <col collapsed="false" customWidth="true" hidden="false" outlineLevel="0" max="29" min="29" style="13" width="10.66"/>
    <col collapsed="false" customWidth="false" hidden="false" outlineLevel="0" max="31" min="30" style="13" width="9"/>
    <col collapsed="false" customWidth="false" hidden="false" outlineLevel="0" max="1024" min="32" style="1" width="9"/>
  </cols>
  <sheetData>
    <row r="1" s="5" customFormat="true" ht="6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17" t="s">
        <v>15</v>
      </c>
      <c r="Q1" s="17" t="s">
        <v>16</v>
      </c>
      <c r="R1" s="5" t="s">
        <v>17</v>
      </c>
      <c r="S1" s="18" t="s">
        <v>18</v>
      </c>
      <c r="T1" s="18" t="s">
        <v>19</v>
      </c>
      <c r="U1" s="18" t="s">
        <v>20</v>
      </c>
      <c r="V1" s="17" t="s">
        <v>21</v>
      </c>
      <c r="W1" s="6" t="s">
        <v>17</v>
      </c>
      <c r="X1" s="19" t="s">
        <v>22</v>
      </c>
      <c r="Y1" s="17" t="s">
        <v>23</v>
      </c>
      <c r="Z1" s="17" t="s">
        <v>24</v>
      </c>
      <c r="AA1" s="17" t="s">
        <v>25</v>
      </c>
      <c r="AB1" s="19" t="s">
        <v>26</v>
      </c>
      <c r="AC1" s="19" t="s">
        <v>27</v>
      </c>
      <c r="AD1" s="17" t="s">
        <v>28</v>
      </c>
      <c r="AE1" s="17" t="s">
        <v>29</v>
      </c>
    </row>
    <row r="2" customFormat="false" ht="13.5" hidden="false" customHeight="false" outlineLevel="0" collapsed="false">
      <c r="A2" s="1" t="s">
        <v>255</v>
      </c>
      <c r="B2" s="1" t="s">
        <v>31</v>
      </c>
      <c r="C2" s="1" t="s">
        <v>256</v>
      </c>
      <c r="D2" s="1" t="s">
        <v>257</v>
      </c>
      <c r="E2" s="1" t="n">
        <v>2</v>
      </c>
      <c r="F2" s="1" t="s">
        <v>187</v>
      </c>
      <c r="G2" s="1" t="s">
        <v>31</v>
      </c>
      <c r="H2" s="1" t="s">
        <v>258</v>
      </c>
      <c r="I2" s="2" t="n">
        <v>43854</v>
      </c>
      <c r="J2" s="2" t="n">
        <v>43855</v>
      </c>
      <c r="K2" s="1" t="s">
        <v>33</v>
      </c>
      <c r="L2" s="2" t="n">
        <v>43856</v>
      </c>
      <c r="M2" s="2" t="n">
        <v>43866</v>
      </c>
      <c r="N2" s="2" t="n">
        <v>43875</v>
      </c>
      <c r="O2" s="1" t="n">
        <v>1</v>
      </c>
      <c r="P2" s="13" t="n">
        <v>38</v>
      </c>
      <c r="Q2" s="13" t="n">
        <v>28.01022373</v>
      </c>
      <c r="R2" s="2" t="n">
        <v>43856</v>
      </c>
      <c r="S2" s="14" t="n">
        <v>11.7</v>
      </c>
      <c r="T2" s="14" t="n">
        <v>2.6793</v>
      </c>
      <c r="U2" s="14" t="n">
        <v>1.2402</v>
      </c>
      <c r="V2" s="13" t="n">
        <v>181</v>
      </c>
      <c r="W2" s="2" t="n">
        <v>43856</v>
      </c>
      <c r="X2" s="16" t="n">
        <v>17.9</v>
      </c>
      <c r="Y2" s="13" t="n">
        <v>52</v>
      </c>
      <c r="Z2" s="13" t="n">
        <v>37</v>
      </c>
      <c r="AA2" s="13" t="n">
        <v>55</v>
      </c>
      <c r="AB2" s="16" t="n">
        <v>8.2</v>
      </c>
      <c r="AC2" s="16" t="n">
        <v>2.5</v>
      </c>
      <c r="AD2" s="13" t="n">
        <v>80</v>
      </c>
      <c r="AE2" s="13" t="n">
        <v>6.18</v>
      </c>
    </row>
    <row r="3" customFormat="false" ht="13.5" hidden="false" customHeight="false" outlineLevel="0" collapsed="false">
      <c r="A3" s="1" t="s">
        <v>259</v>
      </c>
      <c r="B3" s="1" t="s">
        <v>31</v>
      </c>
      <c r="C3" s="1" t="s">
        <v>260</v>
      </c>
      <c r="D3" s="1" t="s">
        <v>33</v>
      </c>
      <c r="E3" s="1" t="n">
        <v>2</v>
      </c>
      <c r="F3" s="1" t="s">
        <v>187</v>
      </c>
      <c r="G3" s="1" t="s">
        <v>31</v>
      </c>
      <c r="H3" s="1" t="s">
        <v>261</v>
      </c>
      <c r="I3" s="2" t="n">
        <v>43861</v>
      </c>
      <c r="J3" s="2" t="n">
        <v>43863</v>
      </c>
      <c r="K3" s="1" t="s">
        <v>33</v>
      </c>
      <c r="L3" s="2" t="n">
        <v>43864</v>
      </c>
      <c r="M3" s="2" t="n">
        <v>43873</v>
      </c>
      <c r="N3" s="2" t="n">
        <v>43873</v>
      </c>
      <c r="O3" s="1" t="n">
        <v>1</v>
      </c>
      <c r="P3" s="13" t="n">
        <v>36</v>
      </c>
      <c r="Q3" s="13" t="n">
        <v>24.91349481</v>
      </c>
      <c r="R3" s="2" t="n">
        <v>43863</v>
      </c>
      <c r="S3" s="14" t="n">
        <v>4.93</v>
      </c>
      <c r="T3" s="14" t="n">
        <v>1.64169</v>
      </c>
      <c r="U3" s="14" t="n">
        <v>0.49793</v>
      </c>
      <c r="V3" s="13" t="n">
        <v>194</v>
      </c>
      <c r="W3" s="2" t="n">
        <v>43863</v>
      </c>
      <c r="X3" s="16" t="n">
        <v>1.9</v>
      </c>
      <c r="Y3" s="13" t="n">
        <v>48.2</v>
      </c>
      <c r="Z3" s="13" t="n">
        <v>34</v>
      </c>
      <c r="AA3" s="13" t="n">
        <v>59</v>
      </c>
      <c r="AB3" s="16" t="n">
        <v>14.1</v>
      </c>
      <c r="AC3" s="16" t="n">
        <v>4.8</v>
      </c>
      <c r="AD3" s="13" t="n">
        <v>94</v>
      </c>
      <c r="AE3" s="13" t="n">
        <v>5.25</v>
      </c>
    </row>
    <row r="4" customFormat="false" ht="13.5" hidden="false" customHeight="false" outlineLevel="0" collapsed="false">
      <c r="A4" s="1" t="s">
        <v>262</v>
      </c>
      <c r="B4" s="1" t="s">
        <v>31</v>
      </c>
      <c r="C4" s="1" t="s">
        <v>263</v>
      </c>
      <c r="D4" s="1" t="s">
        <v>33</v>
      </c>
      <c r="E4" s="1" t="n">
        <v>2</v>
      </c>
      <c r="F4" s="1" t="s">
        <v>187</v>
      </c>
      <c r="G4" s="1" t="s">
        <v>31</v>
      </c>
      <c r="H4" s="1" t="s">
        <v>264</v>
      </c>
      <c r="I4" s="2" t="n">
        <v>43863</v>
      </c>
      <c r="J4" s="2" t="n">
        <v>43865</v>
      </c>
      <c r="K4" s="1" t="s">
        <v>33</v>
      </c>
      <c r="L4" s="2" t="n">
        <v>43866</v>
      </c>
      <c r="M4" s="2" t="n">
        <v>43866</v>
      </c>
      <c r="N4" s="2" t="n">
        <v>43893</v>
      </c>
      <c r="O4" s="1" t="n">
        <v>1</v>
      </c>
      <c r="P4" s="13" t="n">
        <v>70</v>
      </c>
      <c r="Q4" s="13" t="n">
        <v>25.88057064</v>
      </c>
      <c r="R4" s="2" t="n">
        <v>43865</v>
      </c>
      <c r="S4" s="14" t="n">
        <v>3.43</v>
      </c>
      <c r="T4" s="14" t="n">
        <v>0.721672</v>
      </c>
      <c r="U4" s="14" t="n">
        <v>0.310072</v>
      </c>
      <c r="V4" s="13" t="n">
        <v>205</v>
      </c>
      <c r="W4" s="2" t="n">
        <v>43865</v>
      </c>
      <c r="X4" s="16" t="n">
        <v>89.9</v>
      </c>
      <c r="Y4" s="13" t="n">
        <v>22</v>
      </c>
      <c r="Z4" s="13" t="n">
        <v>30</v>
      </c>
      <c r="AA4" s="13" t="n">
        <v>30</v>
      </c>
      <c r="AB4" s="16" t="n">
        <v>12.3</v>
      </c>
      <c r="AC4" s="16" t="n">
        <v>3.9</v>
      </c>
      <c r="AD4" s="13" t="n">
        <v>93</v>
      </c>
      <c r="AE4" s="13" t="n">
        <v>9.21</v>
      </c>
    </row>
    <row r="5" customFormat="false" ht="13.5" hidden="false" customHeight="false" outlineLevel="0" collapsed="false">
      <c r="A5" s="1" t="s">
        <v>265</v>
      </c>
      <c r="B5" s="1" t="s">
        <v>31</v>
      </c>
      <c r="C5" s="1" t="s">
        <v>266</v>
      </c>
      <c r="D5" s="1" t="s">
        <v>33</v>
      </c>
      <c r="E5" s="1" t="n">
        <v>2</v>
      </c>
      <c r="F5" s="1" t="s">
        <v>187</v>
      </c>
      <c r="G5" s="1" t="s">
        <v>31</v>
      </c>
      <c r="H5" s="1" t="s">
        <v>267</v>
      </c>
      <c r="I5" s="2" t="n">
        <v>43856</v>
      </c>
      <c r="J5" s="2" t="n">
        <v>43862</v>
      </c>
      <c r="K5" s="1" t="s">
        <v>33</v>
      </c>
      <c r="L5" s="2" t="n">
        <v>43863</v>
      </c>
      <c r="M5" s="2" t="n">
        <v>43863</v>
      </c>
      <c r="N5" s="2" t="n">
        <v>43871</v>
      </c>
      <c r="O5" s="1" t="n">
        <v>1</v>
      </c>
      <c r="P5" s="13" t="n">
        <v>33</v>
      </c>
      <c r="Q5" s="13" t="n">
        <v>27.04164413</v>
      </c>
      <c r="R5" s="2" t="n">
        <v>43862</v>
      </c>
      <c r="S5" s="14" t="n">
        <v>3.76</v>
      </c>
      <c r="T5" s="14" t="n">
        <v>1.45888</v>
      </c>
      <c r="U5" s="14" t="n">
        <v>0.22184</v>
      </c>
      <c r="V5" s="13" t="n">
        <v>144</v>
      </c>
      <c r="W5" s="2" t="n">
        <v>43862</v>
      </c>
      <c r="X5" s="16" t="n">
        <v>0.5</v>
      </c>
      <c r="Y5" s="13" t="n">
        <v>27.1</v>
      </c>
      <c r="Z5" s="13" t="n">
        <v>23</v>
      </c>
      <c r="AA5" s="13" t="n">
        <v>23</v>
      </c>
      <c r="AB5" s="16" t="n">
        <v>18.9</v>
      </c>
      <c r="AC5" s="16" t="n">
        <v>6.3</v>
      </c>
      <c r="AD5" s="13" t="n">
        <v>88</v>
      </c>
      <c r="AE5" s="13" t="n">
        <v>5.88</v>
      </c>
    </row>
    <row r="6" customFormat="false" ht="13.5" hidden="false" customHeight="false" outlineLevel="0" collapsed="false">
      <c r="A6" s="1" t="s">
        <v>268</v>
      </c>
      <c r="B6" s="1" t="s">
        <v>31</v>
      </c>
      <c r="C6" s="1" t="s">
        <v>269</v>
      </c>
      <c r="D6" s="1" t="s">
        <v>33</v>
      </c>
      <c r="E6" s="1" t="n">
        <v>2</v>
      </c>
      <c r="F6" s="1" t="s">
        <v>187</v>
      </c>
      <c r="G6" s="1" t="s">
        <v>31</v>
      </c>
      <c r="H6" s="1" t="s">
        <v>270</v>
      </c>
      <c r="I6" s="2" t="n">
        <v>43854</v>
      </c>
      <c r="J6" s="2" t="n">
        <v>43855</v>
      </c>
      <c r="K6" s="1" t="s">
        <v>33</v>
      </c>
      <c r="L6" s="2" t="n">
        <v>43855</v>
      </c>
      <c r="M6" s="2" t="n">
        <v>43855</v>
      </c>
      <c r="N6" s="2" t="n">
        <v>43872</v>
      </c>
      <c r="O6" s="1" t="n">
        <v>1</v>
      </c>
      <c r="P6" s="13" t="n">
        <v>33</v>
      </c>
      <c r="Q6" s="13" t="n">
        <v>25.92592593</v>
      </c>
      <c r="R6" s="2" t="n">
        <v>43855</v>
      </c>
      <c r="S6" s="14" t="n">
        <v>3.17</v>
      </c>
      <c r="T6" s="14" t="n">
        <v>1.1</v>
      </c>
      <c r="U6" s="14" t="n">
        <v>0.4</v>
      </c>
      <c r="V6" s="13" t="n">
        <v>144</v>
      </c>
      <c r="W6" s="2" t="n">
        <v>43856</v>
      </c>
      <c r="X6" s="16" t="n">
        <v>12.46</v>
      </c>
      <c r="Y6" s="13" t="n">
        <v>30</v>
      </c>
      <c r="Z6" s="13" t="n">
        <v>30</v>
      </c>
      <c r="AA6" s="13" t="n">
        <v>29</v>
      </c>
      <c r="AB6" s="16" t="n">
        <v>13.1</v>
      </c>
      <c r="AC6" s="16" t="n">
        <v>5.5</v>
      </c>
      <c r="AD6" s="13" t="n">
        <v>110</v>
      </c>
      <c r="AE6" s="13" t="n">
        <v>5.12</v>
      </c>
    </row>
    <row r="7" customFormat="false" ht="13.5" hidden="false" customHeight="false" outlineLevel="0" collapsed="false">
      <c r="A7" s="1" t="s">
        <v>271</v>
      </c>
      <c r="B7" s="1" t="s">
        <v>31</v>
      </c>
      <c r="C7" s="1" t="s">
        <v>272</v>
      </c>
      <c r="D7" s="1" t="s">
        <v>33</v>
      </c>
      <c r="E7" s="1" t="n">
        <v>2</v>
      </c>
      <c r="F7" s="1" t="s">
        <v>187</v>
      </c>
      <c r="G7" s="1" t="s">
        <v>31</v>
      </c>
      <c r="H7" s="1" t="s">
        <v>273</v>
      </c>
      <c r="I7" s="2" t="n">
        <v>43851</v>
      </c>
      <c r="J7" s="2" t="n">
        <v>43853</v>
      </c>
      <c r="K7" s="1" t="s">
        <v>33</v>
      </c>
      <c r="L7" s="2" t="n">
        <v>43853</v>
      </c>
      <c r="M7" s="2" t="n">
        <v>43858</v>
      </c>
      <c r="N7" s="2" t="n">
        <v>43875</v>
      </c>
      <c r="O7" s="1" t="n">
        <v>0</v>
      </c>
      <c r="P7" s="13" t="n">
        <v>45</v>
      </c>
      <c r="Q7" s="13" t="n">
        <v>23.23345618</v>
      </c>
      <c r="R7" s="2" t="n">
        <v>43853</v>
      </c>
      <c r="S7" s="14" t="n">
        <v>5.09</v>
      </c>
      <c r="T7" s="14" t="n">
        <v>1.4</v>
      </c>
      <c r="U7" s="14" t="n">
        <v>0.6</v>
      </c>
      <c r="V7" s="13" t="n">
        <v>221</v>
      </c>
      <c r="W7" s="2" t="n">
        <v>43854</v>
      </c>
      <c r="X7" s="16" t="n">
        <v>4</v>
      </c>
      <c r="Y7" s="13" t="n">
        <v>10</v>
      </c>
      <c r="Z7" s="13" t="n">
        <v>19</v>
      </c>
      <c r="AA7" s="13" t="n">
        <v>13</v>
      </c>
      <c r="AB7" s="16" t="n">
        <v>6</v>
      </c>
      <c r="AC7" s="16" t="n">
        <v>2.5</v>
      </c>
      <c r="AD7" s="13" t="n">
        <v>61</v>
      </c>
      <c r="AE7" s="13" t="n">
        <v>4.61</v>
      </c>
    </row>
    <row r="8" customFormat="false" ht="13.5" hidden="false" customHeight="false" outlineLevel="0" collapsed="false">
      <c r="A8" s="1" t="s">
        <v>274</v>
      </c>
      <c r="B8" s="1" t="s">
        <v>31</v>
      </c>
      <c r="C8" s="1" t="s">
        <v>275</v>
      </c>
      <c r="D8" s="1" t="s">
        <v>276</v>
      </c>
      <c r="E8" s="1" t="n">
        <v>2</v>
      </c>
      <c r="F8" s="1" t="s">
        <v>187</v>
      </c>
      <c r="G8" s="1" t="s">
        <v>31</v>
      </c>
      <c r="H8" s="1" t="s">
        <v>277</v>
      </c>
      <c r="I8" s="2" t="n">
        <v>43856</v>
      </c>
      <c r="J8" s="2" t="n">
        <v>43860</v>
      </c>
      <c r="K8" s="1" t="s">
        <v>33</v>
      </c>
      <c r="L8" s="2" t="n">
        <v>43861</v>
      </c>
      <c r="M8" s="2" t="n">
        <v>43868</v>
      </c>
      <c r="N8" s="2" t="n">
        <v>43876</v>
      </c>
      <c r="O8" s="1" t="n">
        <v>0</v>
      </c>
      <c r="P8" s="13" t="n">
        <v>46</v>
      </c>
      <c r="Q8" s="13" t="n">
        <v>25.68211703</v>
      </c>
      <c r="R8" s="2" t="n">
        <v>43860</v>
      </c>
      <c r="S8" s="14" t="n">
        <v>5.24</v>
      </c>
      <c r="T8" s="14" t="n">
        <v>2.171456</v>
      </c>
      <c r="U8" s="14" t="n">
        <v>0.353176</v>
      </c>
      <c r="V8" s="13" t="n">
        <v>205</v>
      </c>
      <c r="W8" s="2" t="n">
        <v>43860</v>
      </c>
      <c r="X8" s="16" t="n">
        <v>5.2</v>
      </c>
      <c r="Y8" s="13" t="n">
        <v>16</v>
      </c>
      <c r="Z8" s="13" t="n">
        <v>19</v>
      </c>
      <c r="AA8" s="13" t="n">
        <v>21</v>
      </c>
      <c r="AB8" s="16" t="n">
        <v>5.9</v>
      </c>
      <c r="AC8" s="16" t="n">
        <v>2.1</v>
      </c>
      <c r="AD8" s="13" t="n">
        <v>55</v>
      </c>
      <c r="AE8" s="13" t="n">
        <v>7.21</v>
      </c>
    </row>
    <row r="9" customFormat="false" ht="13.5" hidden="false" customHeight="false" outlineLevel="0" collapsed="false">
      <c r="A9" s="1" t="s">
        <v>278</v>
      </c>
      <c r="B9" s="1" t="s">
        <v>31</v>
      </c>
      <c r="C9" s="1" t="s">
        <v>279</v>
      </c>
      <c r="D9" s="1" t="s">
        <v>33</v>
      </c>
      <c r="E9" s="1" t="n">
        <v>2</v>
      </c>
      <c r="F9" s="1" t="s">
        <v>187</v>
      </c>
      <c r="G9" s="1" t="s">
        <v>31</v>
      </c>
      <c r="H9" s="1" t="s">
        <v>280</v>
      </c>
      <c r="I9" s="2" t="n">
        <v>43854</v>
      </c>
      <c r="J9" s="2" t="n">
        <v>43859</v>
      </c>
      <c r="K9" s="1" t="s">
        <v>33</v>
      </c>
      <c r="L9" s="2" t="n">
        <v>43860</v>
      </c>
      <c r="M9" s="2" t="n">
        <v>43868</v>
      </c>
      <c r="N9" s="2" t="n">
        <v>43869</v>
      </c>
      <c r="O9" s="1" t="n">
        <v>1</v>
      </c>
      <c r="P9" s="13" t="n">
        <v>21</v>
      </c>
      <c r="Q9" s="13" t="n">
        <v>30.44982699</v>
      </c>
      <c r="R9" s="2" t="n">
        <v>43859</v>
      </c>
      <c r="S9" s="14" t="n">
        <v>7.14</v>
      </c>
      <c r="T9" s="14" t="n">
        <v>1.179528</v>
      </c>
      <c r="U9" s="14" t="n">
        <v>0.39984</v>
      </c>
      <c r="V9" s="13" t="n">
        <v>211</v>
      </c>
      <c r="W9" s="2" t="n">
        <v>43859</v>
      </c>
      <c r="X9" s="16" t="n">
        <v>7.37</v>
      </c>
      <c r="Y9" s="13" t="n">
        <v>37.3</v>
      </c>
      <c r="Z9" s="13" t="n">
        <v>21</v>
      </c>
      <c r="AA9" s="13" t="n">
        <v>48</v>
      </c>
      <c r="AB9" s="16" t="n">
        <v>14.7</v>
      </c>
      <c r="AC9" s="16" t="n">
        <v>5.7</v>
      </c>
      <c r="AD9" s="13" t="n">
        <v>88</v>
      </c>
      <c r="AE9" s="13" t="n">
        <v>8.12</v>
      </c>
    </row>
    <row r="10" customFormat="false" ht="13.5" hidden="false" customHeight="false" outlineLevel="0" collapsed="false">
      <c r="A10" s="1" t="s">
        <v>281</v>
      </c>
      <c r="B10" s="1" t="s">
        <v>31</v>
      </c>
      <c r="C10" s="1" t="s">
        <v>282</v>
      </c>
      <c r="D10" s="1" t="s">
        <v>33</v>
      </c>
      <c r="E10" s="1" t="n">
        <v>2</v>
      </c>
      <c r="F10" s="1" t="s">
        <v>187</v>
      </c>
      <c r="G10" s="1" t="s">
        <v>31</v>
      </c>
      <c r="H10" s="1" t="s">
        <v>283</v>
      </c>
      <c r="I10" s="2" t="n">
        <v>43861</v>
      </c>
      <c r="J10" s="2" t="n">
        <v>43864</v>
      </c>
      <c r="K10" s="1" t="s">
        <v>33</v>
      </c>
      <c r="L10" s="2" t="n">
        <v>43866</v>
      </c>
      <c r="M10" s="2" t="n">
        <v>43867</v>
      </c>
      <c r="N10" s="2" t="n">
        <v>43893</v>
      </c>
      <c r="O10" s="1" t="n">
        <v>1</v>
      </c>
      <c r="P10" s="13" t="n">
        <v>63</v>
      </c>
      <c r="Q10" s="13" t="n">
        <v>19.15708812</v>
      </c>
      <c r="R10" s="2" t="n">
        <v>43864</v>
      </c>
      <c r="S10" s="14" t="n">
        <v>3.86</v>
      </c>
      <c r="T10" s="14" t="n">
        <v>0.86078</v>
      </c>
      <c r="U10" s="14" t="n">
        <v>0.780106</v>
      </c>
      <c r="V10" s="13" t="n">
        <v>145</v>
      </c>
      <c r="W10" s="2" t="n">
        <v>43864</v>
      </c>
      <c r="X10" s="16" t="n">
        <v>4.8</v>
      </c>
      <c r="Y10" s="13" t="n">
        <v>20</v>
      </c>
      <c r="Z10" s="13" t="n">
        <v>28</v>
      </c>
      <c r="AA10" s="13" t="n">
        <v>16</v>
      </c>
      <c r="AB10" s="16" t="n">
        <v>15.3</v>
      </c>
      <c r="AC10" s="16" t="n">
        <v>6.4</v>
      </c>
      <c r="AD10" s="13" t="n">
        <v>84</v>
      </c>
      <c r="AE10" s="13" t="n">
        <v>5.26</v>
      </c>
    </row>
    <row r="11" customFormat="false" ht="13.5" hidden="false" customHeight="false" outlineLevel="0" collapsed="false">
      <c r="A11" s="1" t="s">
        <v>284</v>
      </c>
      <c r="B11" s="1" t="s">
        <v>31</v>
      </c>
      <c r="C11" s="1" t="s">
        <v>285</v>
      </c>
      <c r="D11" s="1" t="s">
        <v>33</v>
      </c>
      <c r="E11" s="1" t="n">
        <v>2</v>
      </c>
      <c r="F11" s="1" t="s">
        <v>187</v>
      </c>
      <c r="G11" s="1" t="s">
        <v>31</v>
      </c>
      <c r="H11" s="1" t="s">
        <v>286</v>
      </c>
      <c r="I11" s="2" t="n">
        <v>43858</v>
      </c>
      <c r="J11" s="2" t="n">
        <v>43861</v>
      </c>
      <c r="K11" s="1" t="s">
        <v>33</v>
      </c>
      <c r="L11" s="2" t="n">
        <v>43862</v>
      </c>
      <c r="M11" s="2" t="n">
        <v>43862</v>
      </c>
      <c r="N11" s="2" t="n">
        <v>43868</v>
      </c>
      <c r="O11" s="1" t="n">
        <v>1</v>
      </c>
      <c r="P11" s="13" t="n">
        <v>27</v>
      </c>
      <c r="Q11" s="13" t="n">
        <v>22.49134948</v>
      </c>
      <c r="R11" s="2" t="n">
        <v>43861</v>
      </c>
      <c r="S11" s="14" t="n">
        <v>6.56</v>
      </c>
      <c r="T11" s="14" t="n">
        <v>1.33824</v>
      </c>
      <c r="U11" s="14" t="n">
        <v>0.43296</v>
      </c>
      <c r="V11" s="13" t="n">
        <v>199</v>
      </c>
      <c r="W11" s="2" t="n">
        <v>43861</v>
      </c>
      <c r="X11" s="16" t="n">
        <v>41.4</v>
      </c>
      <c r="Y11" s="13" t="n">
        <v>16.2</v>
      </c>
      <c r="Z11" s="13" t="n">
        <v>18</v>
      </c>
      <c r="AA11" s="13" t="n">
        <v>20</v>
      </c>
      <c r="AB11" s="16" t="n">
        <v>23</v>
      </c>
      <c r="AC11" s="16" t="n">
        <v>8.5</v>
      </c>
      <c r="AD11" s="13" t="n">
        <v>77</v>
      </c>
      <c r="AE11" s="13" t="n">
        <v>6.14</v>
      </c>
    </row>
    <row r="12" customFormat="false" ht="13.5" hidden="false" customHeight="false" outlineLevel="0" collapsed="false">
      <c r="A12" s="1" t="s">
        <v>287</v>
      </c>
      <c r="B12" s="1" t="s">
        <v>31</v>
      </c>
      <c r="C12" s="1" t="s">
        <v>288</v>
      </c>
      <c r="D12" s="1" t="s">
        <v>33</v>
      </c>
      <c r="E12" s="1" t="n">
        <v>2</v>
      </c>
      <c r="F12" s="1" t="s">
        <v>187</v>
      </c>
      <c r="G12" s="1" t="s">
        <v>31</v>
      </c>
      <c r="H12" s="1" t="s">
        <v>289</v>
      </c>
      <c r="I12" s="2" t="n">
        <v>43854</v>
      </c>
      <c r="J12" s="2" t="n">
        <v>43855</v>
      </c>
      <c r="K12" s="1" t="s">
        <v>33</v>
      </c>
      <c r="L12" s="2" t="n">
        <v>43855</v>
      </c>
      <c r="M12" s="2" t="n">
        <v>43859</v>
      </c>
      <c r="N12" s="2" t="n">
        <v>43884</v>
      </c>
      <c r="O12" s="1" t="n">
        <v>0</v>
      </c>
      <c r="P12" s="13" t="n">
        <v>34</v>
      </c>
      <c r="Q12" s="13" t="n">
        <v>26.66666667</v>
      </c>
      <c r="R12" s="2" t="n">
        <v>43855</v>
      </c>
      <c r="S12" s="14" t="n">
        <v>5.21</v>
      </c>
      <c r="T12" s="14" t="n">
        <v>0.9576</v>
      </c>
      <c r="U12" s="14" t="n">
        <v>0.4452</v>
      </c>
      <c r="V12" s="13" t="n">
        <v>197</v>
      </c>
      <c r="W12" s="2" t="n">
        <v>43856</v>
      </c>
      <c r="X12" s="16" t="n">
        <v>4.33</v>
      </c>
      <c r="Y12" s="13" t="n">
        <v>20</v>
      </c>
      <c r="Z12" s="13" t="n">
        <v>24</v>
      </c>
      <c r="AA12" s="13" t="n">
        <v>26</v>
      </c>
      <c r="AB12" s="16" t="n">
        <v>6.8</v>
      </c>
      <c r="AC12" s="16" t="n">
        <v>2.4</v>
      </c>
      <c r="AD12" s="13" t="n">
        <v>66</v>
      </c>
      <c r="AE12" s="13" t="n">
        <v>5.05</v>
      </c>
    </row>
    <row r="13" customFormat="false" ht="13.5" hidden="false" customHeight="false" outlineLevel="0" collapsed="false">
      <c r="A13" s="1" t="s">
        <v>290</v>
      </c>
      <c r="B13" s="1" t="s">
        <v>54</v>
      </c>
      <c r="C13" s="1" t="s">
        <v>33</v>
      </c>
      <c r="D13" s="1" t="s">
        <v>33</v>
      </c>
      <c r="E13" s="1" t="n">
        <v>2</v>
      </c>
      <c r="F13" s="1" t="s">
        <v>33</v>
      </c>
      <c r="G13" s="1" t="s">
        <v>31</v>
      </c>
      <c r="H13" s="1" t="s">
        <v>291</v>
      </c>
      <c r="I13" s="2" t="n">
        <v>43856</v>
      </c>
      <c r="J13" s="2" t="n">
        <v>43861</v>
      </c>
      <c r="K13" s="1" t="s">
        <v>33</v>
      </c>
      <c r="L13" s="2" t="n">
        <v>43861</v>
      </c>
      <c r="M13" s="2" t="s">
        <v>33</v>
      </c>
      <c r="N13" s="2" t="n">
        <v>43890</v>
      </c>
      <c r="O13" s="1" t="n">
        <v>0</v>
      </c>
      <c r="P13" s="13" t="n">
        <v>54</v>
      </c>
      <c r="Q13" s="13" t="n">
        <v>26.43807082</v>
      </c>
      <c r="R13" s="2" t="n">
        <v>43861</v>
      </c>
      <c r="S13" s="14" t="n">
        <v>4.83</v>
      </c>
      <c r="T13" s="14" t="n">
        <v>1.86921</v>
      </c>
      <c r="U13" s="14" t="n">
        <v>0.18837</v>
      </c>
      <c r="V13" s="13" t="n">
        <v>181</v>
      </c>
      <c r="W13" s="2" t="n">
        <v>43861</v>
      </c>
      <c r="X13" s="16" t="n">
        <v>2.4</v>
      </c>
      <c r="Y13" s="13" t="n">
        <v>21</v>
      </c>
      <c r="Z13" s="13" t="n">
        <v>22</v>
      </c>
      <c r="AA13" s="13" t="n">
        <v>16</v>
      </c>
      <c r="AB13" s="16" t="n">
        <v>6.2</v>
      </c>
      <c r="AC13" s="16" t="n">
        <v>2.1</v>
      </c>
      <c r="AD13" s="13" t="n">
        <v>60</v>
      </c>
      <c r="AE13" s="13" t="n">
        <v>6.2</v>
      </c>
    </row>
    <row r="14" customFormat="false" ht="13.5" hidden="false" customHeight="false" outlineLevel="0" collapsed="false">
      <c r="A14" s="1" t="s">
        <v>292</v>
      </c>
      <c r="B14" s="1" t="s">
        <v>31</v>
      </c>
      <c r="C14" s="1" t="s">
        <v>293</v>
      </c>
      <c r="D14" s="1" t="s">
        <v>33</v>
      </c>
      <c r="E14" s="1" t="n">
        <v>2</v>
      </c>
      <c r="F14" s="1" t="s">
        <v>187</v>
      </c>
      <c r="G14" s="1" t="s">
        <v>31</v>
      </c>
      <c r="H14" s="1" t="s">
        <v>294</v>
      </c>
      <c r="I14" s="2" t="n">
        <v>43853</v>
      </c>
      <c r="J14" s="2" t="n">
        <v>43854</v>
      </c>
      <c r="K14" s="1" t="s">
        <v>33</v>
      </c>
      <c r="L14" s="2" t="n">
        <v>43855</v>
      </c>
      <c r="M14" s="2" t="n">
        <v>43868</v>
      </c>
      <c r="N14" s="2" t="n">
        <v>43868</v>
      </c>
      <c r="O14" s="1" t="n">
        <v>1</v>
      </c>
      <c r="P14" s="13" t="n">
        <v>31</v>
      </c>
      <c r="Q14" s="13" t="n">
        <v>23.1206236</v>
      </c>
      <c r="R14" s="2" t="n">
        <v>43854</v>
      </c>
      <c r="S14" s="14" t="n">
        <v>5.71</v>
      </c>
      <c r="T14" s="14" t="n">
        <v>1.3</v>
      </c>
      <c r="U14" s="14" t="n">
        <v>0.8</v>
      </c>
      <c r="V14" s="13" t="n">
        <v>213</v>
      </c>
      <c r="W14" s="2" t="n">
        <v>43855</v>
      </c>
      <c r="X14" s="16" t="n">
        <v>1.53</v>
      </c>
      <c r="Y14" s="13" t="n">
        <v>22</v>
      </c>
      <c r="Z14" s="13" t="n">
        <v>24</v>
      </c>
      <c r="AA14" s="13" t="n">
        <v>19</v>
      </c>
      <c r="AB14" s="16" t="n">
        <v>11.2</v>
      </c>
      <c r="AC14" s="16" t="n">
        <v>4.6</v>
      </c>
      <c r="AD14" s="13" t="n">
        <v>94</v>
      </c>
      <c r="AE14" s="13" t="n">
        <v>4.96</v>
      </c>
    </row>
    <row r="15" customFormat="false" ht="13.5" hidden="false" customHeight="false" outlineLevel="0" collapsed="false">
      <c r="A15" s="1" t="s">
        <v>295</v>
      </c>
      <c r="B15" s="1" t="s">
        <v>31</v>
      </c>
      <c r="C15" s="1" t="s">
        <v>296</v>
      </c>
      <c r="D15" s="1" t="s">
        <v>33</v>
      </c>
      <c r="E15" s="1" t="n">
        <v>2</v>
      </c>
      <c r="F15" s="1" t="s">
        <v>187</v>
      </c>
      <c r="G15" s="1" t="s">
        <v>31</v>
      </c>
      <c r="H15" s="1" t="s">
        <v>297</v>
      </c>
      <c r="I15" s="2" t="n">
        <v>43852</v>
      </c>
      <c r="J15" s="2" t="n">
        <v>43855</v>
      </c>
      <c r="K15" s="1" t="s">
        <v>33</v>
      </c>
      <c r="L15" s="2" t="n">
        <v>43856</v>
      </c>
      <c r="M15" s="2" t="n">
        <v>43867</v>
      </c>
      <c r="N15" s="2" t="n">
        <v>43879</v>
      </c>
      <c r="O15" s="1" t="n">
        <v>0</v>
      </c>
      <c r="P15" s="13" t="n">
        <v>37</v>
      </c>
      <c r="Q15" s="13" t="n">
        <v>21.484375</v>
      </c>
      <c r="R15" s="2" t="n">
        <v>43855</v>
      </c>
      <c r="S15" s="14" t="n">
        <v>4.18</v>
      </c>
      <c r="T15" s="14" t="n">
        <v>2.1</v>
      </c>
      <c r="U15" s="14" t="n">
        <v>0.3</v>
      </c>
      <c r="V15" s="13" t="n">
        <v>217</v>
      </c>
      <c r="W15" s="2" t="n">
        <v>43855</v>
      </c>
      <c r="X15" s="16" t="n">
        <v>2.44</v>
      </c>
      <c r="Y15" s="13" t="n">
        <v>17</v>
      </c>
      <c r="Z15" s="13" t="n">
        <v>20</v>
      </c>
      <c r="AA15" s="13" t="n">
        <v>18</v>
      </c>
      <c r="AB15" s="16" t="n">
        <v>6.9</v>
      </c>
      <c r="AC15" s="16" t="n">
        <v>2.8</v>
      </c>
      <c r="AD15" s="13" t="n">
        <v>62</v>
      </c>
      <c r="AE15" s="13" t="n">
        <v>4.76</v>
      </c>
    </row>
    <row r="16" customFormat="false" ht="13.5" hidden="false" customHeight="false" outlineLevel="0" collapsed="false">
      <c r="A16" s="1" t="s">
        <v>298</v>
      </c>
      <c r="B16" s="1" t="s">
        <v>31</v>
      </c>
      <c r="C16" s="1" t="s">
        <v>299</v>
      </c>
      <c r="D16" s="1" t="s">
        <v>33</v>
      </c>
      <c r="E16" s="1" t="n">
        <v>2</v>
      </c>
      <c r="F16" s="1" t="s">
        <v>187</v>
      </c>
      <c r="G16" s="1" t="s">
        <v>31</v>
      </c>
      <c r="H16" s="1" t="s">
        <v>300</v>
      </c>
      <c r="I16" s="2" t="n">
        <v>43858</v>
      </c>
      <c r="J16" s="2" t="n">
        <v>43859</v>
      </c>
      <c r="K16" s="1" t="s">
        <v>33</v>
      </c>
      <c r="L16" s="2" t="n">
        <v>43859</v>
      </c>
      <c r="M16" s="2" t="n">
        <v>43862</v>
      </c>
      <c r="N16" s="2" t="n">
        <v>43883</v>
      </c>
      <c r="O16" s="1" t="n">
        <v>1</v>
      </c>
      <c r="P16" s="13" t="n">
        <v>59</v>
      </c>
      <c r="Q16" s="13" t="n">
        <v>20.2812331</v>
      </c>
      <c r="R16" s="2" t="n">
        <v>43859</v>
      </c>
      <c r="S16" s="14" t="n">
        <v>7</v>
      </c>
      <c r="T16" s="14" t="n">
        <v>1.253</v>
      </c>
      <c r="U16" s="14" t="n">
        <v>0.77</v>
      </c>
      <c r="V16" s="13" t="n">
        <v>198</v>
      </c>
      <c r="W16" s="2" t="n">
        <v>43859</v>
      </c>
      <c r="X16" s="16" t="n">
        <v>17.3</v>
      </c>
      <c r="Y16" s="13" t="n">
        <v>21</v>
      </c>
      <c r="Z16" s="13" t="n">
        <v>33</v>
      </c>
      <c r="AA16" s="13" t="n">
        <v>40</v>
      </c>
      <c r="AB16" s="16" t="n">
        <v>9.6</v>
      </c>
      <c r="AC16" s="16" t="n">
        <v>2.9</v>
      </c>
      <c r="AD16" s="13" t="n">
        <v>110</v>
      </c>
      <c r="AE16" s="13" t="n">
        <v>4.87</v>
      </c>
    </row>
    <row r="17" customFormat="false" ht="13.5" hidden="false" customHeight="false" outlineLevel="0" collapsed="false">
      <c r="A17" s="1" t="s">
        <v>301</v>
      </c>
      <c r="B17" s="1" t="s">
        <v>31</v>
      </c>
      <c r="C17" s="1" t="s">
        <v>302</v>
      </c>
      <c r="D17" s="1" t="s">
        <v>33</v>
      </c>
      <c r="E17" s="1" t="n">
        <v>2</v>
      </c>
      <c r="F17" s="1" t="s">
        <v>187</v>
      </c>
      <c r="G17" s="1" t="s">
        <v>31</v>
      </c>
      <c r="H17" s="1" t="s">
        <v>303</v>
      </c>
      <c r="I17" s="2" t="n">
        <v>43858</v>
      </c>
      <c r="J17" s="2" t="n">
        <v>43862</v>
      </c>
      <c r="K17" s="1" t="s">
        <v>33</v>
      </c>
      <c r="L17" s="2" t="n">
        <v>43863</v>
      </c>
      <c r="M17" s="2" t="n">
        <v>43863</v>
      </c>
      <c r="N17" s="2" t="n">
        <v>43874</v>
      </c>
      <c r="O17" s="1" t="n">
        <v>1</v>
      </c>
      <c r="P17" s="13" t="n">
        <v>39</v>
      </c>
      <c r="Q17" s="13" t="n">
        <v>24.22145329</v>
      </c>
      <c r="R17" s="2" t="n">
        <v>43862</v>
      </c>
      <c r="S17" s="14" t="n">
        <v>3.01</v>
      </c>
      <c r="T17" s="14" t="n">
        <v>0.750694</v>
      </c>
      <c r="U17" s="14" t="n">
        <v>0.362404</v>
      </c>
      <c r="V17" s="13" t="n">
        <v>76</v>
      </c>
      <c r="W17" s="2" t="n">
        <v>43862</v>
      </c>
      <c r="X17" s="16" t="n">
        <v>9.7</v>
      </c>
      <c r="Y17" s="13" t="n">
        <v>17.7</v>
      </c>
      <c r="Z17" s="13" t="n">
        <v>30</v>
      </c>
      <c r="AA17" s="13" t="n">
        <v>13</v>
      </c>
      <c r="AB17" s="16" t="n">
        <v>31.4</v>
      </c>
      <c r="AC17" s="16" t="n">
        <v>13.8</v>
      </c>
      <c r="AD17" s="13" t="n">
        <v>84</v>
      </c>
      <c r="AE17" s="13" t="n">
        <v>5.5</v>
      </c>
    </row>
    <row r="18" customFormat="false" ht="13.5" hidden="false" customHeight="false" outlineLevel="0" collapsed="false">
      <c r="A18" s="1" t="s">
        <v>304</v>
      </c>
      <c r="B18" s="1" t="s">
        <v>31</v>
      </c>
      <c r="C18" s="1" t="s">
        <v>305</v>
      </c>
      <c r="D18" s="1" t="s">
        <v>33</v>
      </c>
      <c r="E18" s="1" t="n">
        <v>2</v>
      </c>
      <c r="F18" s="1" t="s">
        <v>187</v>
      </c>
      <c r="G18" s="1" t="s">
        <v>31</v>
      </c>
      <c r="H18" s="1" t="s">
        <v>306</v>
      </c>
      <c r="I18" s="2" t="n">
        <v>43851</v>
      </c>
      <c r="J18" s="2" t="n">
        <v>43853</v>
      </c>
      <c r="K18" s="1" t="s">
        <v>33</v>
      </c>
      <c r="L18" s="2" t="n">
        <v>43853</v>
      </c>
      <c r="M18" s="2" t="n">
        <v>43863</v>
      </c>
      <c r="N18" s="2" t="n">
        <v>43863</v>
      </c>
      <c r="O18" s="1" t="n">
        <v>1</v>
      </c>
      <c r="P18" s="13" t="n">
        <v>32</v>
      </c>
      <c r="Q18" s="13" t="n">
        <v>30.11621315</v>
      </c>
      <c r="R18" s="2" t="n">
        <v>43854</v>
      </c>
      <c r="S18" s="14" t="n">
        <v>5.6</v>
      </c>
      <c r="T18" s="14" t="n">
        <v>1.9488</v>
      </c>
      <c r="U18" s="14" t="n">
        <v>0.644</v>
      </c>
      <c r="V18" s="13" t="n">
        <v>228</v>
      </c>
      <c r="W18" s="2" t="n">
        <v>43854</v>
      </c>
      <c r="X18" s="16" t="n">
        <v>2.3</v>
      </c>
      <c r="Y18" s="13" t="n">
        <v>35</v>
      </c>
      <c r="Z18" s="13" t="n">
        <v>29</v>
      </c>
      <c r="AA18" s="13" t="n">
        <v>44</v>
      </c>
      <c r="AB18" s="16" t="n">
        <v>12.1</v>
      </c>
      <c r="AC18" s="16" t="n">
        <v>4</v>
      </c>
      <c r="AD18" s="13" t="n">
        <v>82</v>
      </c>
      <c r="AE18" s="13" t="n">
        <v>4.9</v>
      </c>
    </row>
    <row r="19" customFormat="false" ht="13.5" hidden="false" customHeight="false" outlineLevel="0" collapsed="false">
      <c r="A19" s="1" t="s">
        <v>307</v>
      </c>
      <c r="B19" s="1" t="s">
        <v>31</v>
      </c>
      <c r="C19" s="1" t="s">
        <v>308</v>
      </c>
      <c r="D19" s="1" t="s">
        <v>33</v>
      </c>
      <c r="E19" s="1" t="n">
        <v>2</v>
      </c>
      <c r="F19" s="1" t="s">
        <v>187</v>
      </c>
      <c r="G19" s="1" t="s">
        <v>31</v>
      </c>
      <c r="H19" s="1" t="s">
        <v>309</v>
      </c>
      <c r="I19" s="2" t="n">
        <v>43858</v>
      </c>
      <c r="J19" s="2" t="n">
        <v>43859</v>
      </c>
      <c r="K19" s="1" t="s">
        <v>33</v>
      </c>
      <c r="L19" s="2" t="n">
        <v>43868</v>
      </c>
      <c r="M19" s="2" t="n">
        <v>43859</v>
      </c>
      <c r="N19" s="2" t="n">
        <v>43871</v>
      </c>
      <c r="O19" s="1" t="n">
        <v>1</v>
      </c>
      <c r="P19" s="13" t="n">
        <v>20</v>
      </c>
      <c r="Q19" s="13" t="n">
        <v>18.9370029</v>
      </c>
      <c r="R19" s="2" t="n">
        <v>43859</v>
      </c>
      <c r="S19" s="14" t="n">
        <v>6.15</v>
      </c>
      <c r="T19" s="14" t="n">
        <v>1.6</v>
      </c>
      <c r="U19" s="14" t="n">
        <v>0.3</v>
      </c>
      <c r="V19" s="13" t="n">
        <v>202</v>
      </c>
      <c r="W19" s="2" t="n">
        <v>43859</v>
      </c>
      <c r="X19" s="16" t="n">
        <v>15.4</v>
      </c>
      <c r="Y19" s="13" t="n">
        <v>31</v>
      </c>
      <c r="Z19" s="13" t="n">
        <v>28</v>
      </c>
      <c r="AA19" s="13" t="n">
        <v>21</v>
      </c>
      <c r="AB19" s="16" t="n">
        <v>6.8</v>
      </c>
      <c r="AC19" s="16" t="n">
        <v>1.8</v>
      </c>
      <c r="AD19" s="13" t="n">
        <v>92</v>
      </c>
      <c r="AE19" s="13" t="n">
        <v>6.79</v>
      </c>
    </row>
    <row r="20" customFormat="false" ht="13.5" hidden="false" customHeight="false" outlineLevel="0" collapsed="false">
      <c r="A20" s="1" t="s">
        <v>310</v>
      </c>
      <c r="B20" s="1" t="s">
        <v>31</v>
      </c>
      <c r="C20" s="1" t="s">
        <v>311</v>
      </c>
      <c r="D20" s="1" t="s">
        <v>33</v>
      </c>
      <c r="E20" s="1" t="n">
        <v>2</v>
      </c>
      <c r="F20" s="1" t="s">
        <v>187</v>
      </c>
      <c r="G20" s="1" t="s">
        <v>31</v>
      </c>
      <c r="H20" s="1" t="s">
        <v>312</v>
      </c>
      <c r="I20" s="2" t="n">
        <v>43855</v>
      </c>
      <c r="J20" s="2" t="n">
        <v>43855</v>
      </c>
      <c r="K20" s="1" t="s">
        <v>33</v>
      </c>
      <c r="L20" s="2" t="n">
        <v>43855</v>
      </c>
      <c r="M20" s="2" t="n">
        <v>43855</v>
      </c>
      <c r="N20" s="2" t="n">
        <v>43879</v>
      </c>
      <c r="O20" s="1" t="n">
        <v>1</v>
      </c>
      <c r="P20" s="13" t="n">
        <v>46</v>
      </c>
      <c r="Q20" s="13" t="n">
        <v>26.7299275</v>
      </c>
      <c r="R20" s="2" t="n">
        <v>43855</v>
      </c>
      <c r="S20" s="14" t="n">
        <v>5.62</v>
      </c>
      <c r="T20" s="14" t="n">
        <v>1</v>
      </c>
      <c r="U20" s="14" t="n">
        <v>0.4</v>
      </c>
      <c r="V20" s="13" t="n">
        <v>179</v>
      </c>
      <c r="W20" s="2" t="n">
        <v>43856</v>
      </c>
      <c r="X20" s="16" t="n">
        <v>6.85</v>
      </c>
      <c r="Y20" s="13" t="n">
        <v>30</v>
      </c>
      <c r="Z20" s="13" t="n">
        <v>27</v>
      </c>
      <c r="AA20" s="13" t="n">
        <v>68</v>
      </c>
      <c r="AB20" s="16" t="n">
        <v>10.4</v>
      </c>
      <c r="AC20" s="16" t="n">
        <v>2.8</v>
      </c>
      <c r="AD20" s="13" t="n">
        <v>100</v>
      </c>
      <c r="AE20" s="13" t="n">
        <v>9.91</v>
      </c>
    </row>
    <row r="21" customFormat="false" ht="13.5" hidden="false" customHeight="false" outlineLevel="0" collapsed="false">
      <c r="A21" s="1" t="s">
        <v>185</v>
      </c>
      <c r="B21" s="1" t="s">
        <v>31</v>
      </c>
      <c r="C21" s="1" t="s">
        <v>186</v>
      </c>
      <c r="D21" s="1" t="s">
        <v>33</v>
      </c>
      <c r="E21" s="1" t="n">
        <v>3</v>
      </c>
      <c r="F21" s="1" t="s">
        <v>187</v>
      </c>
      <c r="G21" s="1" t="s">
        <v>31</v>
      </c>
      <c r="H21" s="1" t="s">
        <v>188</v>
      </c>
      <c r="I21" s="2" t="n">
        <v>43853</v>
      </c>
      <c r="J21" s="2" t="n">
        <v>43855</v>
      </c>
      <c r="K21" s="2" t="n">
        <v>43857</v>
      </c>
      <c r="L21" s="2" t="n">
        <v>43855</v>
      </c>
      <c r="M21" s="2" t="n">
        <v>43855</v>
      </c>
      <c r="N21" s="2" t="n">
        <v>43870</v>
      </c>
      <c r="O21" s="1" t="n">
        <v>1</v>
      </c>
      <c r="P21" s="13" t="n">
        <v>30</v>
      </c>
      <c r="Q21" s="13" t="n">
        <v>24.8015873</v>
      </c>
      <c r="R21" s="2" t="n">
        <v>43855</v>
      </c>
      <c r="S21" s="14" t="n">
        <v>5.19</v>
      </c>
      <c r="T21" s="14" t="n">
        <v>1.2</v>
      </c>
      <c r="U21" s="14" t="n">
        <v>0.4558</v>
      </c>
      <c r="V21" s="13" t="n">
        <v>118</v>
      </c>
      <c r="W21" s="2" t="n">
        <v>43855</v>
      </c>
      <c r="X21" s="16" t="n">
        <v>42.53</v>
      </c>
      <c r="Y21" s="13" t="n">
        <v>69</v>
      </c>
      <c r="Z21" s="13" t="n">
        <v>77</v>
      </c>
      <c r="AA21" s="13" t="n">
        <v>77</v>
      </c>
      <c r="AB21" s="16" t="n">
        <v>11.8</v>
      </c>
      <c r="AC21" s="16" t="n">
        <v>3.8</v>
      </c>
      <c r="AD21" s="13" t="n">
        <v>89</v>
      </c>
      <c r="AE21" s="13" t="n">
        <v>6.95</v>
      </c>
    </row>
    <row r="22" customFormat="false" ht="13.5" hidden="false" customHeight="false" outlineLevel="0" collapsed="false">
      <c r="A22" s="1" t="s">
        <v>189</v>
      </c>
      <c r="B22" s="1" t="s">
        <v>31</v>
      </c>
      <c r="C22" s="1" t="s">
        <v>190</v>
      </c>
      <c r="D22" s="1" t="s">
        <v>33</v>
      </c>
      <c r="E22" s="1" t="n">
        <v>3</v>
      </c>
      <c r="F22" s="1" t="s">
        <v>187</v>
      </c>
      <c r="G22" s="1" t="s">
        <v>31</v>
      </c>
      <c r="H22" s="1" t="s">
        <v>191</v>
      </c>
      <c r="I22" s="2" t="n">
        <v>43855</v>
      </c>
      <c r="J22" s="2" t="n">
        <v>43858</v>
      </c>
      <c r="K22" s="2" t="n">
        <v>43858</v>
      </c>
      <c r="L22" s="2" t="n">
        <v>43858</v>
      </c>
      <c r="M22" s="2" t="n">
        <v>43858</v>
      </c>
      <c r="N22" s="2" t="n">
        <v>43895</v>
      </c>
      <c r="O22" s="1" t="n">
        <v>1</v>
      </c>
      <c r="P22" s="13" t="n">
        <v>34</v>
      </c>
      <c r="Q22" s="13" t="n">
        <v>26.93877551</v>
      </c>
      <c r="R22" s="2" t="n">
        <v>43858</v>
      </c>
      <c r="S22" s="14" t="n">
        <v>6</v>
      </c>
      <c r="T22" s="14" t="n">
        <v>1.062</v>
      </c>
      <c r="U22" s="14" t="n">
        <v>0.432</v>
      </c>
      <c r="V22" s="13" t="n">
        <v>112</v>
      </c>
      <c r="W22" s="2" t="n">
        <v>43858</v>
      </c>
      <c r="X22" s="16" t="n">
        <v>58.55</v>
      </c>
      <c r="Y22" s="13" t="n">
        <v>21</v>
      </c>
      <c r="Z22" s="13" t="n">
        <v>26</v>
      </c>
      <c r="AA22" s="13" t="n">
        <v>21</v>
      </c>
      <c r="AB22" s="16" t="n">
        <v>24.9</v>
      </c>
      <c r="AC22" s="16" t="n">
        <v>10.2</v>
      </c>
      <c r="AD22" s="13" t="n">
        <v>103</v>
      </c>
      <c r="AE22" s="13" t="n">
        <v>7.32</v>
      </c>
    </row>
    <row r="23" customFormat="false" ht="13.5" hidden="false" customHeight="false" outlineLevel="0" collapsed="false">
      <c r="A23" s="1" t="s">
        <v>192</v>
      </c>
      <c r="B23" s="1" t="s">
        <v>54</v>
      </c>
      <c r="C23" s="1" t="s">
        <v>33</v>
      </c>
      <c r="D23" s="1" t="s">
        <v>33</v>
      </c>
      <c r="E23" s="1" t="n">
        <v>3</v>
      </c>
      <c r="F23" s="1" t="s">
        <v>33</v>
      </c>
      <c r="G23" s="1" t="s">
        <v>31</v>
      </c>
      <c r="H23" s="1" t="s">
        <v>193</v>
      </c>
      <c r="I23" s="2" t="n">
        <v>43845</v>
      </c>
      <c r="J23" s="2" t="n">
        <v>43857</v>
      </c>
      <c r="K23" s="2" t="n">
        <v>43858</v>
      </c>
      <c r="L23" s="2" t="n">
        <v>43868</v>
      </c>
      <c r="M23" s="2" t="s">
        <v>33</v>
      </c>
      <c r="N23" s="2" t="n">
        <v>43879</v>
      </c>
      <c r="O23" s="1" t="n">
        <v>1</v>
      </c>
      <c r="P23" s="13" t="n">
        <v>51</v>
      </c>
      <c r="Q23" s="13" t="n">
        <v>27.34375</v>
      </c>
      <c r="R23" s="2" t="n">
        <v>43857</v>
      </c>
      <c r="S23" s="14" t="n">
        <v>4.7</v>
      </c>
      <c r="T23" s="14" t="n">
        <v>1.1092</v>
      </c>
      <c r="U23" s="14" t="n">
        <v>0.5922</v>
      </c>
      <c r="V23" s="13" t="n">
        <v>185</v>
      </c>
      <c r="W23" s="2" t="n">
        <v>43857</v>
      </c>
      <c r="X23" s="16" t="n">
        <v>9.7</v>
      </c>
      <c r="Y23" s="13" t="n">
        <v>37</v>
      </c>
      <c r="Z23" s="13" t="n">
        <v>45</v>
      </c>
      <c r="AA23" s="13" t="n">
        <v>25</v>
      </c>
      <c r="AB23" s="16" t="n">
        <v>15.4</v>
      </c>
      <c r="AC23" s="16" t="n">
        <v>5</v>
      </c>
      <c r="AD23" s="13" t="n">
        <v>98</v>
      </c>
      <c r="AE23" s="13" t="n">
        <v>16.28</v>
      </c>
    </row>
    <row r="24" customFormat="false" ht="13.5" hidden="false" customHeight="false" outlineLevel="0" collapsed="false">
      <c r="A24" s="1" t="s">
        <v>194</v>
      </c>
      <c r="B24" s="1" t="s">
        <v>31</v>
      </c>
      <c r="C24" s="1" t="s">
        <v>195</v>
      </c>
      <c r="D24" s="1" t="s">
        <v>33</v>
      </c>
      <c r="E24" s="1" t="n">
        <v>3</v>
      </c>
      <c r="F24" s="1" t="s">
        <v>187</v>
      </c>
      <c r="G24" s="1" t="s">
        <v>31</v>
      </c>
      <c r="H24" s="1" t="s">
        <v>196</v>
      </c>
      <c r="I24" s="2" t="n">
        <v>43849</v>
      </c>
      <c r="J24" s="2" t="n">
        <v>43854</v>
      </c>
      <c r="K24" s="2" t="n">
        <v>43853</v>
      </c>
      <c r="L24" s="2" t="n">
        <v>43864</v>
      </c>
      <c r="M24" s="2" t="n">
        <v>43855</v>
      </c>
      <c r="N24" s="2" t="n">
        <v>43879</v>
      </c>
      <c r="O24" s="1" t="n">
        <v>1</v>
      </c>
      <c r="P24" s="13" t="n">
        <v>47</v>
      </c>
      <c r="Q24" s="13" t="n">
        <v>22.265625</v>
      </c>
      <c r="R24" s="2" t="n">
        <v>43854</v>
      </c>
      <c r="S24" s="14" t="n">
        <v>6.76</v>
      </c>
      <c r="T24" s="14" t="n">
        <v>0.9</v>
      </c>
      <c r="U24" s="14" t="n">
        <v>0.5</v>
      </c>
      <c r="V24" s="13" t="n">
        <v>240</v>
      </c>
      <c r="W24" s="2" t="n">
        <v>43855</v>
      </c>
      <c r="X24" s="16" t="n">
        <v>16.9</v>
      </c>
      <c r="Y24" s="13" t="n">
        <v>24</v>
      </c>
      <c r="Z24" s="13" t="n">
        <v>26</v>
      </c>
      <c r="AA24" s="13" t="n">
        <v>15</v>
      </c>
      <c r="AB24" s="16" t="n">
        <v>5.3</v>
      </c>
      <c r="AC24" s="16" t="n">
        <v>1.5</v>
      </c>
      <c r="AD24" s="13" t="n">
        <v>335</v>
      </c>
      <c r="AE24" s="13" t="n">
        <v>5.42</v>
      </c>
    </row>
    <row r="25" customFormat="false" ht="13.5" hidden="false" customHeight="false" outlineLevel="0" collapsed="false">
      <c r="A25" s="1" t="s">
        <v>197</v>
      </c>
      <c r="B25" s="1" t="s">
        <v>54</v>
      </c>
      <c r="C25" s="1" t="s">
        <v>33</v>
      </c>
      <c r="D25" s="1" t="s">
        <v>33</v>
      </c>
      <c r="E25" s="1" t="n">
        <v>3</v>
      </c>
      <c r="F25" s="1" t="s">
        <v>33</v>
      </c>
      <c r="G25" s="1" t="s">
        <v>31</v>
      </c>
      <c r="H25" s="1" t="s">
        <v>198</v>
      </c>
      <c r="I25" s="2" t="n">
        <v>43853</v>
      </c>
      <c r="J25" s="2" t="n">
        <v>43855</v>
      </c>
      <c r="K25" s="2" t="n">
        <v>43861</v>
      </c>
      <c r="L25" s="2" t="n">
        <v>43870</v>
      </c>
      <c r="M25" s="2" t="s">
        <v>33</v>
      </c>
      <c r="N25" s="2" t="n">
        <v>43888</v>
      </c>
      <c r="O25" s="1" t="n">
        <v>0</v>
      </c>
      <c r="P25" s="13" t="n">
        <v>56</v>
      </c>
      <c r="Q25" s="13" t="n">
        <v>28.7317468902109</v>
      </c>
      <c r="R25" s="2" t="n">
        <v>43856</v>
      </c>
      <c r="S25" s="14" t="n">
        <v>1.9</v>
      </c>
      <c r="T25" s="14" t="n">
        <v>0.8645</v>
      </c>
      <c r="U25" s="14" t="n">
        <v>0.2489</v>
      </c>
      <c r="V25" s="13" t="n">
        <v>121</v>
      </c>
      <c r="W25" s="2" t="n">
        <v>43856</v>
      </c>
      <c r="X25" s="16" t="n">
        <v>2.76</v>
      </c>
      <c r="Y25" s="13" t="n">
        <v>21</v>
      </c>
      <c r="Z25" s="13" t="n">
        <v>28</v>
      </c>
      <c r="AA25" s="13" t="n">
        <v>72</v>
      </c>
      <c r="AB25" s="16" t="n">
        <v>9.9</v>
      </c>
      <c r="AC25" s="16" t="n">
        <v>3</v>
      </c>
      <c r="AD25" s="13" t="n">
        <v>78</v>
      </c>
      <c r="AE25" s="13" t="n">
        <v>5.95</v>
      </c>
    </row>
    <row r="26" customFormat="false" ht="13.5" hidden="false" customHeight="false" outlineLevel="0" collapsed="false">
      <c r="A26" s="1" t="s">
        <v>199</v>
      </c>
      <c r="B26" s="1" t="s">
        <v>31</v>
      </c>
      <c r="C26" s="1" t="s">
        <v>200</v>
      </c>
      <c r="D26" s="1" t="s">
        <v>33</v>
      </c>
      <c r="E26" s="1" t="n">
        <v>3</v>
      </c>
      <c r="F26" s="1" t="s">
        <v>187</v>
      </c>
      <c r="G26" s="1" t="s">
        <v>31</v>
      </c>
      <c r="H26" s="1" t="s">
        <v>201</v>
      </c>
      <c r="I26" s="2" t="n">
        <v>43851</v>
      </c>
      <c r="J26" s="2" t="n">
        <v>43853</v>
      </c>
      <c r="K26" s="2" t="n">
        <v>43854</v>
      </c>
      <c r="L26" s="2" t="n">
        <v>43853</v>
      </c>
      <c r="M26" s="2" t="n">
        <v>43854</v>
      </c>
      <c r="N26" s="2" t="n">
        <v>43869</v>
      </c>
      <c r="O26" s="1" t="n">
        <v>1</v>
      </c>
      <c r="P26" s="13" t="n">
        <v>54</v>
      </c>
      <c r="Q26" s="13" t="n">
        <v>31.26690103</v>
      </c>
      <c r="R26" s="2" t="n">
        <v>43853</v>
      </c>
      <c r="S26" s="14" t="n">
        <v>5.5</v>
      </c>
      <c r="T26" s="14" t="n">
        <v>1.441</v>
      </c>
      <c r="U26" s="14" t="n">
        <v>0.649</v>
      </c>
      <c r="V26" s="13" t="n">
        <v>119</v>
      </c>
      <c r="W26" s="2" t="n">
        <v>43854</v>
      </c>
      <c r="X26" s="16" t="n">
        <v>31</v>
      </c>
      <c r="Y26" s="13" t="n">
        <v>97</v>
      </c>
      <c r="Z26" s="13" t="n">
        <v>47</v>
      </c>
      <c r="AA26" s="13" t="n">
        <v>55</v>
      </c>
      <c r="AB26" s="16" t="n">
        <v>32.7</v>
      </c>
      <c r="AC26" s="16" t="n">
        <v>17.9</v>
      </c>
      <c r="AD26" s="13" t="n">
        <v>69</v>
      </c>
      <c r="AE26" s="13" t="n">
        <v>8.1</v>
      </c>
    </row>
    <row r="27" customFormat="false" ht="13.5" hidden="false" customHeight="false" outlineLevel="0" collapsed="false">
      <c r="A27" s="1" t="s">
        <v>202</v>
      </c>
      <c r="B27" s="1" t="s">
        <v>54</v>
      </c>
      <c r="C27" s="1" t="s">
        <v>33</v>
      </c>
      <c r="D27" s="1" t="s">
        <v>33</v>
      </c>
      <c r="E27" s="1" t="n">
        <v>3</v>
      </c>
      <c r="F27" s="1" t="s">
        <v>33</v>
      </c>
      <c r="G27" s="1" t="s">
        <v>31</v>
      </c>
      <c r="H27" s="1" t="s">
        <v>203</v>
      </c>
      <c r="I27" s="2" t="n">
        <v>43839</v>
      </c>
      <c r="J27" s="2" t="n">
        <v>43854</v>
      </c>
      <c r="K27" s="2" t="n">
        <v>43855</v>
      </c>
      <c r="L27" s="2" t="n">
        <v>43854</v>
      </c>
      <c r="M27" s="2" t="s">
        <v>33</v>
      </c>
      <c r="N27" s="2" t="n">
        <v>43875</v>
      </c>
      <c r="O27" s="1" t="n">
        <v>1</v>
      </c>
      <c r="P27" s="13" t="n">
        <v>74</v>
      </c>
      <c r="Q27" s="13" t="n">
        <v>27.05515088</v>
      </c>
      <c r="R27" s="2" t="n">
        <v>43854</v>
      </c>
      <c r="S27" s="14" t="n">
        <v>3.75</v>
      </c>
      <c r="T27" s="14" t="n">
        <v>0.7</v>
      </c>
      <c r="U27" s="14" t="n">
        <v>0.4</v>
      </c>
      <c r="V27" s="13" t="n">
        <v>120</v>
      </c>
      <c r="W27" s="2" t="n">
        <v>43856</v>
      </c>
      <c r="X27" s="16" t="n">
        <v>12.7</v>
      </c>
      <c r="Y27" s="13" t="n">
        <v>22</v>
      </c>
      <c r="Z27" s="13" t="n">
        <v>33</v>
      </c>
      <c r="AA27" s="13" t="n">
        <v>17</v>
      </c>
      <c r="AB27" s="16" t="n">
        <v>22.5</v>
      </c>
      <c r="AC27" s="16" t="n">
        <v>8.4</v>
      </c>
      <c r="AD27" s="13" t="n">
        <v>67</v>
      </c>
      <c r="AE27" s="13" t="n">
        <v>7.66</v>
      </c>
    </row>
    <row r="28" customFormat="false" ht="13.5" hidden="false" customHeight="false" outlineLevel="0" collapsed="false">
      <c r="A28" s="1" t="s">
        <v>204</v>
      </c>
      <c r="B28" s="1" t="s">
        <v>31</v>
      </c>
      <c r="C28" s="1" t="s">
        <v>205</v>
      </c>
      <c r="D28" s="1" t="s">
        <v>206</v>
      </c>
      <c r="E28" s="1" t="n">
        <v>3</v>
      </c>
      <c r="F28" s="1" t="s">
        <v>187</v>
      </c>
      <c r="G28" s="1" t="s">
        <v>31</v>
      </c>
      <c r="H28" s="1" t="s">
        <v>207</v>
      </c>
      <c r="I28" s="2" t="n">
        <v>43853</v>
      </c>
      <c r="J28" s="2" t="n">
        <v>43854</v>
      </c>
      <c r="K28" s="2" t="n">
        <v>43857</v>
      </c>
      <c r="L28" s="2" t="n">
        <v>43854</v>
      </c>
      <c r="M28" s="2" t="n">
        <v>43864</v>
      </c>
      <c r="N28" s="2" t="n">
        <v>43879</v>
      </c>
      <c r="O28" s="1" t="n">
        <v>0</v>
      </c>
      <c r="P28" s="13" t="n">
        <v>35</v>
      </c>
      <c r="Q28" s="13" t="n">
        <v>25.64891762</v>
      </c>
      <c r="R28" s="2" t="n">
        <v>43854</v>
      </c>
      <c r="S28" s="14" t="n">
        <v>5.98</v>
      </c>
      <c r="T28" s="14" t="n">
        <v>1.6</v>
      </c>
      <c r="U28" s="14" t="n">
        <v>0.6</v>
      </c>
      <c r="V28" s="13" t="n">
        <v>301</v>
      </c>
      <c r="W28" s="2" t="n">
        <v>43854</v>
      </c>
      <c r="X28" s="16" t="n">
        <v>1.99</v>
      </c>
      <c r="Y28" s="13" t="n">
        <v>34</v>
      </c>
      <c r="Z28" s="13" t="n">
        <v>28</v>
      </c>
      <c r="AA28" s="13" t="n">
        <v>50</v>
      </c>
      <c r="AB28" s="16" t="n">
        <v>5.6</v>
      </c>
      <c r="AC28" s="16" t="n">
        <v>1.8</v>
      </c>
      <c r="AD28" s="13" t="n">
        <v>72</v>
      </c>
      <c r="AE28" s="13" t="n">
        <v>5.48</v>
      </c>
    </row>
    <row r="29" customFormat="false" ht="13.5" hidden="false" customHeight="false" outlineLevel="0" collapsed="false">
      <c r="A29" s="1" t="s">
        <v>208</v>
      </c>
      <c r="B29" s="1" t="s">
        <v>31</v>
      </c>
      <c r="C29" s="1" t="s">
        <v>209</v>
      </c>
      <c r="D29" s="1" t="s">
        <v>33</v>
      </c>
      <c r="E29" s="1" t="n">
        <v>3</v>
      </c>
      <c r="F29" s="1" t="s">
        <v>187</v>
      </c>
      <c r="G29" s="1" t="s">
        <v>31</v>
      </c>
      <c r="H29" s="1" t="s">
        <v>210</v>
      </c>
      <c r="I29" s="2" t="n">
        <v>43850</v>
      </c>
      <c r="J29" s="2" t="n">
        <v>43850</v>
      </c>
      <c r="K29" s="2" t="n">
        <v>43851</v>
      </c>
      <c r="L29" s="2" t="n">
        <v>43857</v>
      </c>
      <c r="M29" s="2" t="n">
        <v>43854</v>
      </c>
      <c r="N29" s="2" t="n">
        <v>43876</v>
      </c>
      <c r="O29" s="1" t="n">
        <v>0</v>
      </c>
      <c r="P29" s="13" t="n">
        <v>62</v>
      </c>
      <c r="Q29" s="13" t="n">
        <v>27.99036281</v>
      </c>
      <c r="R29" s="2" t="n">
        <v>43850</v>
      </c>
      <c r="S29" s="14" t="n">
        <v>3.7</v>
      </c>
      <c r="T29" s="14" t="n">
        <v>0.7844</v>
      </c>
      <c r="U29" s="14" t="n">
        <v>0.2812</v>
      </c>
      <c r="V29" s="13" t="n">
        <v>156</v>
      </c>
      <c r="W29" s="2" t="n">
        <v>43851</v>
      </c>
      <c r="X29" s="16" t="n">
        <v>23.5</v>
      </c>
      <c r="Y29" s="13" t="n">
        <v>11</v>
      </c>
      <c r="Z29" s="13" t="n">
        <v>25</v>
      </c>
      <c r="AA29" s="13" t="n">
        <v>20</v>
      </c>
      <c r="AB29" s="16" t="n">
        <v>6.3</v>
      </c>
      <c r="AC29" s="16" t="n">
        <v>3.2</v>
      </c>
      <c r="AD29" s="13" t="n">
        <v>73</v>
      </c>
      <c r="AE29" s="13" t="n">
        <v>8.76</v>
      </c>
    </row>
    <row r="30" customFormat="false" ht="13.5" hidden="false" customHeight="false" outlineLevel="0" collapsed="false">
      <c r="A30" s="1" t="s">
        <v>211</v>
      </c>
      <c r="B30" s="1" t="s">
        <v>31</v>
      </c>
      <c r="C30" s="1" t="s">
        <v>212</v>
      </c>
      <c r="D30" s="1" t="s">
        <v>33</v>
      </c>
      <c r="E30" s="1" t="n">
        <v>3</v>
      </c>
      <c r="F30" s="1" t="s">
        <v>187</v>
      </c>
      <c r="G30" s="1" t="s">
        <v>31</v>
      </c>
      <c r="H30" s="1" t="s">
        <v>213</v>
      </c>
      <c r="I30" s="2" t="n">
        <v>43863</v>
      </c>
      <c r="J30" s="2" t="n">
        <v>43865</v>
      </c>
      <c r="K30" s="2" t="n">
        <v>43868</v>
      </c>
      <c r="L30" s="2" t="n">
        <v>43866</v>
      </c>
      <c r="M30" s="2" t="n">
        <v>43866</v>
      </c>
      <c r="N30" s="2" t="n">
        <v>43892</v>
      </c>
      <c r="O30" s="1" t="n">
        <v>1</v>
      </c>
      <c r="P30" s="13" t="n">
        <v>43</v>
      </c>
      <c r="Q30" s="13" t="n">
        <v>24.38652644</v>
      </c>
      <c r="R30" s="2" t="n">
        <v>43865</v>
      </c>
      <c r="S30" s="14" t="n">
        <v>7.59</v>
      </c>
      <c r="T30" s="14" t="n">
        <v>0.783288</v>
      </c>
      <c r="U30" s="14" t="n">
        <v>0.59961</v>
      </c>
      <c r="V30" s="13" t="n">
        <v>174</v>
      </c>
      <c r="W30" s="2" t="n">
        <v>43865</v>
      </c>
      <c r="X30" s="16" t="n">
        <v>37.9</v>
      </c>
      <c r="Y30" s="13" t="n">
        <v>24</v>
      </c>
      <c r="Z30" s="13" t="n">
        <v>24</v>
      </c>
      <c r="AA30" s="13" t="n">
        <v>24</v>
      </c>
      <c r="AB30" s="16" t="n">
        <v>36.4</v>
      </c>
      <c r="AC30" s="16" t="n">
        <v>13.6</v>
      </c>
      <c r="AD30" s="13" t="n">
        <v>95</v>
      </c>
      <c r="AE30" s="13" t="n">
        <v>8.72</v>
      </c>
    </row>
    <row r="31" customFormat="false" ht="13.5" hidden="false" customHeight="false" outlineLevel="0" collapsed="false">
      <c r="A31" s="1" t="s">
        <v>214</v>
      </c>
      <c r="B31" s="1" t="s">
        <v>31</v>
      </c>
      <c r="C31" s="1" t="s">
        <v>215</v>
      </c>
      <c r="D31" s="1" t="s">
        <v>33</v>
      </c>
      <c r="E31" s="1" t="n">
        <v>3</v>
      </c>
      <c r="F31" s="1" t="s">
        <v>187</v>
      </c>
      <c r="G31" s="1" t="s">
        <v>31</v>
      </c>
      <c r="H31" s="1" t="s">
        <v>216</v>
      </c>
      <c r="I31" s="2" t="n">
        <v>43848</v>
      </c>
      <c r="J31" s="2" t="n">
        <v>43861</v>
      </c>
      <c r="K31" s="2" t="n">
        <v>43861</v>
      </c>
      <c r="L31" s="2" t="n">
        <v>43863</v>
      </c>
      <c r="M31" s="2" t="n">
        <v>43862</v>
      </c>
      <c r="N31" s="2" t="n">
        <v>43883</v>
      </c>
      <c r="O31" s="1" t="n">
        <v>1</v>
      </c>
      <c r="P31" s="13" t="n">
        <v>47</v>
      </c>
      <c r="Q31" s="13" t="n">
        <v>22.72043837</v>
      </c>
      <c r="R31" s="2" t="n">
        <v>43861</v>
      </c>
      <c r="S31" s="14" t="n">
        <v>9.14</v>
      </c>
      <c r="T31" s="14" t="n">
        <v>0.625176</v>
      </c>
      <c r="U31" s="14" t="n">
        <v>0.250436</v>
      </c>
      <c r="V31" s="13" t="n">
        <v>292</v>
      </c>
      <c r="W31" s="2" t="n">
        <v>43861</v>
      </c>
      <c r="X31" s="16" t="n">
        <v>29.9</v>
      </c>
      <c r="Y31" s="13" t="n">
        <v>19.6</v>
      </c>
      <c r="Z31" s="13" t="n">
        <v>19</v>
      </c>
      <c r="AA31" s="13" t="n">
        <v>50</v>
      </c>
      <c r="AB31" s="16" t="n">
        <v>15.3</v>
      </c>
      <c r="AC31" s="16" t="n">
        <v>6.2</v>
      </c>
      <c r="AD31" s="13" t="n">
        <v>93</v>
      </c>
      <c r="AE31" s="13" t="n">
        <v>25.63</v>
      </c>
    </row>
    <row r="32" customFormat="false" ht="13.5" hidden="false" customHeight="false" outlineLevel="0" collapsed="false">
      <c r="A32" s="1" t="s">
        <v>217</v>
      </c>
      <c r="B32" s="1" t="s">
        <v>31</v>
      </c>
      <c r="C32" s="1" t="s">
        <v>218</v>
      </c>
      <c r="D32" s="1" t="s">
        <v>33</v>
      </c>
      <c r="E32" s="1" t="n">
        <v>3</v>
      </c>
      <c r="F32" s="1" t="s">
        <v>187</v>
      </c>
      <c r="G32" s="1" t="s">
        <v>31</v>
      </c>
      <c r="H32" s="1" t="s">
        <v>219</v>
      </c>
      <c r="I32" s="2" t="n">
        <v>43863</v>
      </c>
      <c r="J32" s="2" t="n">
        <v>43865</v>
      </c>
      <c r="K32" s="2" t="n">
        <v>43866</v>
      </c>
      <c r="L32" s="2" t="n">
        <v>43866</v>
      </c>
      <c r="M32" s="2" t="n">
        <v>43866</v>
      </c>
      <c r="N32" s="2" t="n">
        <v>43884</v>
      </c>
      <c r="O32" s="1" t="n">
        <v>1</v>
      </c>
      <c r="P32" s="13" t="n">
        <v>70</v>
      </c>
      <c r="Q32" s="13" t="n">
        <v>24.38237298</v>
      </c>
      <c r="R32" s="2" t="n">
        <v>43865</v>
      </c>
      <c r="S32" s="14" t="n">
        <v>6.22</v>
      </c>
      <c r="T32" s="14" t="n">
        <v>0.430424</v>
      </c>
      <c r="U32" s="14" t="n">
        <v>0.21148</v>
      </c>
      <c r="V32" s="13" t="n">
        <v>191</v>
      </c>
      <c r="W32" s="2" t="n">
        <v>43865</v>
      </c>
      <c r="X32" s="16" t="n">
        <v>64.8</v>
      </c>
      <c r="Y32" s="13" t="n">
        <v>30</v>
      </c>
      <c r="Z32" s="13" t="n">
        <v>38</v>
      </c>
      <c r="AA32" s="13" t="n">
        <v>46</v>
      </c>
      <c r="AB32" s="16" t="n">
        <v>11.3</v>
      </c>
      <c r="AC32" s="16" t="n">
        <v>4.7</v>
      </c>
      <c r="AD32" s="13" t="n">
        <v>85</v>
      </c>
      <c r="AE32" s="13" t="n">
        <v>15.31</v>
      </c>
    </row>
    <row r="33" customFormat="false" ht="13.5" hidden="false" customHeight="false" outlineLevel="0" collapsed="false">
      <c r="A33" s="1" t="s">
        <v>220</v>
      </c>
      <c r="B33" s="1" t="s">
        <v>31</v>
      </c>
      <c r="C33" s="1" t="s">
        <v>221</v>
      </c>
      <c r="D33" s="1" t="s">
        <v>33</v>
      </c>
      <c r="E33" s="1" t="n">
        <v>3</v>
      </c>
      <c r="F33" s="1" t="s">
        <v>187</v>
      </c>
      <c r="G33" s="1" t="s">
        <v>31</v>
      </c>
      <c r="H33" s="1" t="s">
        <v>222</v>
      </c>
      <c r="I33" s="2" t="n">
        <v>43854</v>
      </c>
      <c r="J33" s="2" t="n">
        <v>43862</v>
      </c>
      <c r="K33" s="2" t="n">
        <v>43862</v>
      </c>
      <c r="L33" s="2" t="n">
        <v>43863</v>
      </c>
      <c r="M33" s="2" t="n">
        <v>43863</v>
      </c>
      <c r="N33" s="2" t="n">
        <v>43873</v>
      </c>
      <c r="O33" s="1" t="n">
        <v>0</v>
      </c>
      <c r="P33" s="13" t="n">
        <v>64</v>
      </c>
      <c r="Q33" s="13" t="n">
        <v>21.05170826</v>
      </c>
      <c r="R33" s="2" t="n">
        <v>43862</v>
      </c>
      <c r="S33" s="14" t="n">
        <v>12.89</v>
      </c>
      <c r="T33" s="14" t="n">
        <v>0.378966</v>
      </c>
      <c r="U33" s="14" t="n">
        <v>0.494976</v>
      </c>
      <c r="V33" s="13" t="n">
        <v>247</v>
      </c>
      <c r="W33" s="2" t="n">
        <v>43863</v>
      </c>
      <c r="X33" s="16" t="n">
        <v>63.5</v>
      </c>
      <c r="Y33" s="13" t="n">
        <v>12.1</v>
      </c>
      <c r="Z33" s="13" t="n">
        <v>15</v>
      </c>
      <c r="AA33" s="13" t="n">
        <v>24</v>
      </c>
      <c r="AB33" s="16" t="n">
        <v>17.7</v>
      </c>
      <c r="AC33" s="16" t="n">
        <v>6.7</v>
      </c>
      <c r="AD33" s="13" t="n">
        <v>67</v>
      </c>
      <c r="AE33" s="13" t="n">
        <v>8.47</v>
      </c>
    </row>
    <row r="34" customFormat="false" ht="13.5" hidden="false" customHeight="false" outlineLevel="0" collapsed="false">
      <c r="A34" s="1" t="s">
        <v>223</v>
      </c>
      <c r="B34" s="1" t="s">
        <v>31</v>
      </c>
      <c r="C34" s="1" t="s">
        <v>224</v>
      </c>
      <c r="D34" s="1" t="s">
        <v>33</v>
      </c>
      <c r="E34" s="1" t="n">
        <v>3</v>
      </c>
      <c r="F34" s="1" t="s">
        <v>187</v>
      </c>
      <c r="G34" s="1" t="s">
        <v>31</v>
      </c>
      <c r="H34" s="1" t="s">
        <v>225</v>
      </c>
      <c r="I34" s="2" t="n">
        <v>43854</v>
      </c>
      <c r="J34" s="2" t="n">
        <v>43863</v>
      </c>
      <c r="K34" s="2" t="n">
        <v>43863</v>
      </c>
      <c r="L34" s="2" t="n">
        <v>43864</v>
      </c>
      <c r="M34" s="2" t="n">
        <v>43864</v>
      </c>
      <c r="N34" s="2" t="n">
        <v>43899</v>
      </c>
      <c r="O34" s="1" t="n">
        <v>1</v>
      </c>
      <c r="P34" s="13" t="n">
        <v>75</v>
      </c>
      <c r="Q34" s="13" t="n">
        <v>24.4646016</v>
      </c>
      <c r="R34" s="2" t="n">
        <v>43864</v>
      </c>
      <c r="S34" s="14" t="n">
        <v>6.77</v>
      </c>
      <c r="T34" s="14" t="n">
        <v>0.679708</v>
      </c>
      <c r="U34" s="14" t="n">
        <v>0.469838</v>
      </c>
      <c r="V34" s="13" t="n">
        <v>234</v>
      </c>
      <c r="W34" s="2" t="n">
        <v>43864</v>
      </c>
      <c r="X34" s="16" t="n">
        <v>101.89</v>
      </c>
      <c r="Y34" s="13" t="n">
        <v>37</v>
      </c>
      <c r="Z34" s="13" t="n">
        <v>77</v>
      </c>
      <c r="AA34" s="13" t="n">
        <v>78</v>
      </c>
      <c r="AB34" s="16" t="n">
        <v>11</v>
      </c>
      <c r="AC34" s="16" t="n">
        <v>3.8</v>
      </c>
      <c r="AD34" s="13" t="n">
        <v>76</v>
      </c>
      <c r="AE34" s="13" t="n">
        <v>4.58</v>
      </c>
    </row>
    <row r="35" customFormat="false" ht="13.5" hidden="false" customHeight="false" outlineLevel="0" collapsed="false">
      <c r="A35" s="1" t="s">
        <v>226</v>
      </c>
      <c r="B35" s="1" t="s">
        <v>31</v>
      </c>
      <c r="C35" s="1" t="s">
        <v>227</v>
      </c>
      <c r="D35" s="1" t="s">
        <v>33</v>
      </c>
      <c r="E35" s="1" t="n">
        <v>3</v>
      </c>
      <c r="F35" s="1" t="s">
        <v>187</v>
      </c>
      <c r="G35" s="1" t="s">
        <v>31</v>
      </c>
      <c r="H35" s="1" t="s">
        <v>228</v>
      </c>
      <c r="I35" s="2" t="n">
        <v>43862</v>
      </c>
      <c r="J35" s="2" t="n">
        <v>43864</v>
      </c>
      <c r="K35" s="2" t="n">
        <v>43869</v>
      </c>
      <c r="L35" s="2" t="n">
        <v>43865</v>
      </c>
      <c r="M35" s="2" t="n">
        <v>43865</v>
      </c>
      <c r="N35" s="2" t="n">
        <v>43882</v>
      </c>
      <c r="O35" s="1" t="n">
        <v>1</v>
      </c>
      <c r="P35" s="13" t="n">
        <v>51</v>
      </c>
      <c r="Q35" s="13" t="n">
        <v>23.42209073</v>
      </c>
      <c r="R35" s="2" t="n">
        <v>43864</v>
      </c>
      <c r="S35" s="14" t="n">
        <v>8.77</v>
      </c>
      <c r="T35" s="14" t="n">
        <v>2.56084</v>
      </c>
      <c r="U35" s="14" t="n">
        <v>0.42096</v>
      </c>
      <c r="V35" s="13" t="n">
        <v>158</v>
      </c>
      <c r="W35" s="2" t="n">
        <v>43864</v>
      </c>
      <c r="X35" s="16" t="n">
        <v>15</v>
      </c>
      <c r="Y35" s="13" t="n">
        <v>34.7</v>
      </c>
      <c r="Z35" s="13" t="n">
        <v>31</v>
      </c>
      <c r="AA35" s="13" t="n">
        <v>64</v>
      </c>
      <c r="AB35" s="16" t="n">
        <v>25.9</v>
      </c>
      <c r="AC35" s="16" t="n">
        <v>9.9</v>
      </c>
      <c r="AD35" s="13" t="n">
        <v>89</v>
      </c>
      <c r="AE35" s="13" t="n">
        <v>7.79</v>
      </c>
    </row>
    <row r="36" customFormat="false" ht="13.5" hidden="false" customHeight="false" outlineLevel="0" collapsed="false">
      <c r="A36" s="1" t="s">
        <v>229</v>
      </c>
      <c r="B36" s="1" t="s">
        <v>54</v>
      </c>
      <c r="C36" s="1" t="s">
        <v>33</v>
      </c>
      <c r="D36" s="1" t="s">
        <v>33</v>
      </c>
      <c r="E36" s="1" t="n">
        <v>3</v>
      </c>
      <c r="F36" s="1" t="s">
        <v>33</v>
      </c>
      <c r="G36" s="1" t="s">
        <v>31</v>
      </c>
      <c r="H36" s="1" t="s">
        <v>230</v>
      </c>
      <c r="I36" s="2" t="n">
        <v>43839</v>
      </c>
      <c r="J36" s="2" t="n">
        <v>43849</v>
      </c>
      <c r="K36" s="2" t="n">
        <v>43849</v>
      </c>
      <c r="L36" s="2" t="n">
        <v>43849</v>
      </c>
      <c r="M36" s="2" t="s">
        <v>33</v>
      </c>
      <c r="N36" s="2" t="n">
        <v>43882</v>
      </c>
      <c r="O36" s="1" t="n">
        <v>0</v>
      </c>
      <c r="P36" s="13" t="n">
        <v>55</v>
      </c>
      <c r="Q36" s="13" t="n">
        <v>22.58270917</v>
      </c>
      <c r="R36" s="2" t="n">
        <v>43850</v>
      </c>
      <c r="S36" s="14" t="n">
        <v>6.9</v>
      </c>
      <c r="T36" s="14" t="n">
        <v>0.3726</v>
      </c>
      <c r="U36" s="14" t="n">
        <v>0.1242</v>
      </c>
      <c r="V36" s="13" t="n">
        <v>125</v>
      </c>
      <c r="W36" s="2" t="n">
        <v>43850</v>
      </c>
      <c r="X36" s="16" t="n">
        <v>185</v>
      </c>
      <c r="Y36" s="13" t="n">
        <v>20</v>
      </c>
      <c r="Z36" s="13" t="n">
        <v>64</v>
      </c>
      <c r="AA36" s="13" t="n">
        <v>37</v>
      </c>
      <c r="AB36" s="16" t="n">
        <v>6.1</v>
      </c>
      <c r="AC36" s="16" t="n">
        <v>2.7</v>
      </c>
      <c r="AD36" s="13" t="n">
        <v>62</v>
      </c>
      <c r="AE36" s="13" t="n">
        <v>7.05</v>
      </c>
    </row>
    <row r="37" customFormat="false" ht="13.5" hidden="false" customHeight="false" outlineLevel="0" collapsed="false">
      <c r="A37" s="1" t="s">
        <v>231</v>
      </c>
      <c r="B37" s="1" t="s">
        <v>31</v>
      </c>
      <c r="C37" s="1" t="s">
        <v>232</v>
      </c>
      <c r="D37" s="1" t="s">
        <v>33</v>
      </c>
      <c r="E37" s="1" t="n">
        <v>3</v>
      </c>
      <c r="F37" s="1" t="s">
        <v>187</v>
      </c>
      <c r="G37" s="1" t="s">
        <v>31</v>
      </c>
      <c r="H37" s="1" t="s">
        <v>233</v>
      </c>
      <c r="I37" s="2" t="n">
        <v>43857</v>
      </c>
      <c r="J37" s="2" t="n">
        <v>43862</v>
      </c>
      <c r="K37" s="2" t="n">
        <v>43865</v>
      </c>
      <c r="L37" s="2" t="n">
        <v>43863</v>
      </c>
      <c r="M37" s="2" t="n">
        <v>43863</v>
      </c>
      <c r="N37" s="2" t="n">
        <v>43892</v>
      </c>
      <c r="O37" s="1" t="n">
        <v>0</v>
      </c>
      <c r="P37" s="13" t="n">
        <v>52</v>
      </c>
      <c r="Q37" s="13" t="n">
        <v>24.67550027</v>
      </c>
      <c r="R37" s="2" t="n">
        <v>43862</v>
      </c>
      <c r="S37" s="14" t="n">
        <v>3.91</v>
      </c>
      <c r="T37" s="14" t="n">
        <v>0.982974</v>
      </c>
      <c r="U37" s="14" t="n">
        <v>0.200974</v>
      </c>
      <c r="V37" s="13" t="n">
        <v>175</v>
      </c>
      <c r="W37" s="2" t="n">
        <v>43862</v>
      </c>
      <c r="X37" s="16" t="n">
        <v>17.9</v>
      </c>
      <c r="Y37" s="13" t="n">
        <v>29.4</v>
      </c>
      <c r="Z37" s="13" t="n">
        <v>29</v>
      </c>
      <c r="AA37" s="13" t="n">
        <v>27</v>
      </c>
      <c r="AB37" s="16" t="n">
        <v>15.5</v>
      </c>
      <c r="AC37" s="16" t="n">
        <v>6.5</v>
      </c>
      <c r="AD37" s="13" t="n">
        <v>63</v>
      </c>
      <c r="AE37" s="13" t="n">
        <v>7.35</v>
      </c>
    </row>
    <row r="38" customFormat="false" ht="13.5" hidden="false" customHeight="false" outlineLevel="0" collapsed="false">
      <c r="A38" s="1" t="s">
        <v>313</v>
      </c>
      <c r="B38" s="1" t="s">
        <v>31</v>
      </c>
      <c r="C38" s="1" t="s">
        <v>314</v>
      </c>
      <c r="D38" s="1" t="s">
        <v>33</v>
      </c>
      <c r="E38" s="1" t="n">
        <v>2</v>
      </c>
      <c r="F38" s="1" t="s">
        <v>236</v>
      </c>
      <c r="G38" s="1" t="s">
        <v>31</v>
      </c>
      <c r="H38" s="1" t="s">
        <v>315</v>
      </c>
      <c r="I38" s="2" t="n">
        <v>43858</v>
      </c>
      <c r="J38" s="2" t="n">
        <v>43861</v>
      </c>
      <c r="K38" s="1" t="s">
        <v>33</v>
      </c>
      <c r="L38" s="2" t="n">
        <v>43862</v>
      </c>
      <c r="M38" s="2" t="n">
        <v>43862</v>
      </c>
      <c r="N38" s="2" t="n">
        <v>43873</v>
      </c>
      <c r="O38" s="1" t="n">
        <v>1</v>
      </c>
      <c r="P38" s="13" t="n">
        <v>60</v>
      </c>
      <c r="Q38" s="13" t="n">
        <v>28.9007795</v>
      </c>
      <c r="R38" s="2" t="n">
        <v>43861</v>
      </c>
      <c r="S38" s="14" t="n">
        <v>5.03</v>
      </c>
      <c r="T38" s="14" t="n">
        <v>1.34804</v>
      </c>
      <c r="U38" s="14" t="n">
        <v>0.37222</v>
      </c>
      <c r="V38" s="13" t="n">
        <v>209</v>
      </c>
      <c r="W38" s="2" t="n">
        <v>43861</v>
      </c>
      <c r="X38" s="16" t="n">
        <v>0.5</v>
      </c>
      <c r="Y38" s="13" t="n">
        <v>32.6</v>
      </c>
      <c r="Z38" s="13" t="n">
        <v>26</v>
      </c>
      <c r="AA38" s="13" t="n">
        <v>18</v>
      </c>
      <c r="AB38" s="16" t="n">
        <v>27</v>
      </c>
      <c r="AC38" s="16" t="n">
        <v>9.6</v>
      </c>
      <c r="AD38" s="13" t="n">
        <v>75</v>
      </c>
      <c r="AE38" s="13" t="n">
        <v>4.47</v>
      </c>
    </row>
    <row r="39" customFormat="false" ht="13.5" hidden="false" customHeight="false" outlineLevel="0" collapsed="false">
      <c r="A39" s="1" t="s">
        <v>316</v>
      </c>
      <c r="B39" s="1" t="s">
        <v>31</v>
      </c>
      <c r="C39" s="1" t="s">
        <v>317</v>
      </c>
      <c r="D39" s="1" t="s">
        <v>33</v>
      </c>
      <c r="E39" s="1" t="n">
        <v>2</v>
      </c>
      <c r="F39" s="1" t="s">
        <v>236</v>
      </c>
      <c r="G39" s="1" t="s">
        <v>31</v>
      </c>
      <c r="H39" s="1" t="s">
        <v>318</v>
      </c>
      <c r="I39" s="2" t="n">
        <v>43852</v>
      </c>
      <c r="J39" s="2" t="n">
        <v>43856</v>
      </c>
      <c r="K39" s="1" t="s">
        <v>33</v>
      </c>
      <c r="L39" s="2" t="n">
        <v>43857</v>
      </c>
      <c r="M39" s="2" t="n">
        <v>43868</v>
      </c>
      <c r="N39" s="2" t="n">
        <v>43876</v>
      </c>
      <c r="O39" s="1" t="n">
        <v>0</v>
      </c>
      <c r="P39" s="13" t="n">
        <v>45</v>
      </c>
      <c r="Q39" s="13" t="n">
        <v>21.85491276</v>
      </c>
      <c r="R39" s="2" t="n">
        <v>43856</v>
      </c>
      <c r="S39" s="14" t="n">
        <v>6.8</v>
      </c>
      <c r="T39" s="14" t="n">
        <v>1.7272</v>
      </c>
      <c r="U39" s="14" t="n">
        <v>0.4216</v>
      </c>
      <c r="V39" s="13" t="n">
        <v>261</v>
      </c>
      <c r="W39" s="2" t="n">
        <v>43856</v>
      </c>
      <c r="X39" s="16" t="n">
        <v>9.37</v>
      </c>
      <c r="Y39" s="13" t="n">
        <v>13</v>
      </c>
      <c r="Z39" s="13" t="n">
        <v>21</v>
      </c>
      <c r="AA39" s="13" t="n">
        <v>16</v>
      </c>
      <c r="AB39" s="16" t="n">
        <v>4</v>
      </c>
      <c r="AC39" s="16" t="n">
        <v>0.8</v>
      </c>
      <c r="AD39" s="13" t="n">
        <v>59</v>
      </c>
      <c r="AE39" s="13" t="n">
        <v>6.19</v>
      </c>
    </row>
    <row r="40" customFormat="false" ht="13.5" hidden="false" customHeight="false" outlineLevel="0" collapsed="false">
      <c r="A40" s="1" t="s">
        <v>319</v>
      </c>
      <c r="B40" s="1" t="s">
        <v>31</v>
      </c>
      <c r="C40" s="1" t="s">
        <v>320</v>
      </c>
      <c r="D40" s="1" t="s">
        <v>33</v>
      </c>
      <c r="E40" s="1" t="n">
        <v>2</v>
      </c>
      <c r="F40" s="1" t="s">
        <v>236</v>
      </c>
      <c r="G40" s="1" t="s">
        <v>31</v>
      </c>
      <c r="H40" s="1" t="s">
        <v>321</v>
      </c>
      <c r="I40" s="2" t="n">
        <v>43842</v>
      </c>
      <c r="J40" s="2" t="n">
        <v>43856</v>
      </c>
      <c r="K40" s="1" t="s">
        <v>33</v>
      </c>
      <c r="L40" s="2" t="n">
        <v>43856</v>
      </c>
      <c r="M40" s="2" t="n">
        <v>43856</v>
      </c>
      <c r="N40" s="2" t="n">
        <v>43894</v>
      </c>
      <c r="O40" s="1" t="n">
        <v>1</v>
      </c>
      <c r="P40" s="13" t="n">
        <v>43</v>
      </c>
      <c r="Q40" s="13" t="n">
        <v>20.76124567</v>
      </c>
      <c r="R40" s="2" t="n">
        <v>43856</v>
      </c>
      <c r="S40" s="14" t="n">
        <v>8.17</v>
      </c>
      <c r="T40" s="14" t="n">
        <v>2.6</v>
      </c>
      <c r="U40" s="14" t="n">
        <v>1</v>
      </c>
      <c r="V40" s="13" t="n">
        <v>248</v>
      </c>
      <c r="W40" s="2" t="n">
        <v>43856</v>
      </c>
      <c r="X40" s="16" t="n">
        <v>26.41</v>
      </c>
      <c r="Y40" s="13" t="n">
        <v>23.1</v>
      </c>
      <c r="Z40" s="13" t="n">
        <v>23</v>
      </c>
      <c r="AA40" s="13" t="n">
        <v>23</v>
      </c>
      <c r="AB40" s="16" t="n">
        <v>31.3</v>
      </c>
      <c r="AC40" s="16" t="n">
        <v>11.1</v>
      </c>
      <c r="AD40" s="13" t="n">
        <v>89</v>
      </c>
      <c r="AE40" s="13" t="n">
        <v>12.86</v>
      </c>
    </row>
    <row r="41" customFormat="false" ht="13.5" hidden="false" customHeight="false" outlineLevel="0" collapsed="false">
      <c r="A41" s="1" t="s">
        <v>322</v>
      </c>
      <c r="B41" s="1" t="s">
        <v>31</v>
      </c>
      <c r="C41" s="1" t="s">
        <v>323</v>
      </c>
      <c r="D41" s="1" t="s">
        <v>33</v>
      </c>
      <c r="E41" s="1" t="n">
        <v>2</v>
      </c>
      <c r="F41" s="1" t="s">
        <v>236</v>
      </c>
      <c r="G41" s="1" t="s">
        <v>31</v>
      </c>
      <c r="H41" s="1" t="s">
        <v>324</v>
      </c>
      <c r="I41" s="2" t="n">
        <v>43860</v>
      </c>
      <c r="J41" s="2" t="n">
        <v>43863</v>
      </c>
      <c r="K41" s="1" t="s">
        <v>33</v>
      </c>
      <c r="L41" s="2" t="n">
        <v>43864</v>
      </c>
      <c r="M41" s="2" t="n">
        <v>43864</v>
      </c>
      <c r="N41" s="2" t="n">
        <v>43884</v>
      </c>
      <c r="O41" s="1" t="n">
        <v>1</v>
      </c>
      <c r="P41" s="13" t="n">
        <v>44</v>
      </c>
      <c r="Q41" s="13" t="n">
        <v>22.83737024</v>
      </c>
      <c r="R41" s="2" t="n">
        <v>43863</v>
      </c>
      <c r="S41" s="14" t="n">
        <v>5.97</v>
      </c>
      <c r="T41" s="14" t="n">
        <v>2.282928</v>
      </c>
      <c r="U41" s="14" t="n">
        <v>0.641178</v>
      </c>
      <c r="V41" s="13" t="n">
        <v>137</v>
      </c>
      <c r="W41" s="2" t="n">
        <v>43863</v>
      </c>
      <c r="X41" s="16" t="n">
        <v>1.7</v>
      </c>
      <c r="Y41" s="13" t="n">
        <v>20.9</v>
      </c>
      <c r="Z41" s="13" t="n">
        <v>20</v>
      </c>
      <c r="AA41" s="13" t="n">
        <v>22</v>
      </c>
      <c r="AB41" s="16" t="n">
        <v>14.9</v>
      </c>
      <c r="AC41" s="16" t="n">
        <v>5.9</v>
      </c>
      <c r="AD41" s="13" t="n">
        <v>70</v>
      </c>
      <c r="AE41" s="13" t="n">
        <v>7.59</v>
      </c>
    </row>
    <row r="42" customFormat="false" ht="13.5" hidden="false" customHeight="false" outlineLevel="0" collapsed="false">
      <c r="A42" s="1" t="s">
        <v>325</v>
      </c>
      <c r="B42" s="1" t="s">
        <v>31</v>
      </c>
      <c r="C42" s="1" t="s">
        <v>326</v>
      </c>
      <c r="D42" s="1" t="s">
        <v>33</v>
      </c>
      <c r="E42" s="1" t="n">
        <v>2</v>
      </c>
      <c r="F42" s="1" t="s">
        <v>236</v>
      </c>
      <c r="G42" s="1" t="s">
        <v>31</v>
      </c>
      <c r="H42" s="1" t="s">
        <v>327</v>
      </c>
      <c r="I42" s="2" t="n">
        <v>43862</v>
      </c>
      <c r="J42" s="2" t="n">
        <v>43863</v>
      </c>
      <c r="K42" s="1" t="s">
        <v>33</v>
      </c>
      <c r="L42" s="2" t="n">
        <v>43864</v>
      </c>
      <c r="M42" s="2" t="n">
        <v>43864</v>
      </c>
      <c r="N42" s="2" t="n">
        <v>43900</v>
      </c>
      <c r="O42" s="1" t="n">
        <v>0</v>
      </c>
      <c r="P42" s="13" t="n">
        <v>56</v>
      </c>
      <c r="Q42" s="13" t="n">
        <v>20.44913742</v>
      </c>
      <c r="R42" s="2" t="n">
        <v>43863</v>
      </c>
      <c r="S42" s="14" t="n">
        <v>4.01</v>
      </c>
      <c r="T42" s="14" t="n">
        <v>1.2</v>
      </c>
      <c r="U42" s="14" t="n">
        <v>0.4191</v>
      </c>
      <c r="V42" s="13" t="n">
        <v>206</v>
      </c>
      <c r="W42" s="2" t="n">
        <v>43863</v>
      </c>
      <c r="X42" s="16" t="n">
        <v>1.7</v>
      </c>
      <c r="Y42" s="13" t="n">
        <v>31.2</v>
      </c>
      <c r="Z42" s="13" t="n">
        <v>41</v>
      </c>
      <c r="AA42" s="13" t="n">
        <v>14</v>
      </c>
      <c r="AB42" s="16" t="n">
        <v>5.2</v>
      </c>
      <c r="AC42" s="16" t="n">
        <v>2.2</v>
      </c>
      <c r="AD42" s="13" t="n">
        <v>65</v>
      </c>
      <c r="AE42" s="13" t="n">
        <v>8.72</v>
      </c>
    </row>
    <row r="43" customFormat="false" ht="13.5" hidden="false" customHeight="false" outlineLevel="0" collapsed="false">
      <c r="A43" s="1" t="s">
        <v>328</v>
      </c>
      <c r="B43" s="1" t="s">
        <v>31</v>
      </c>
      <c r="C43" s="1" t="s">
        <v>329</v>
      </c>
      <c r="D43" s="1" t="s">
        <v>33</v>
      </c>
      <c r="E43" s="1" t="n">
        <v>2</v>
      </c>
      <c r="F43" s="1" t="s">
        <v>236</v>
      </c>
      <c r="G43" s="1" t="s">
        <v>31</v>
      </c>
      <c r="H43" s="1" t="s">
        <v>330</v>
      </c>
      <c r="I43" s="2" t="n">
        <v>43856</v>
      </c>
      <c r="J43" s="2" t="n">
        <v>43861</v>
      </c>
      <c r="K43" s="1" t="s">
        <v>33</v>
      </c>
      <c r="L43" s="2" t="n">
        <v>43864</v>
      </c>
      <c r="M43" s="2" t="n">
        <v>43864</v>
      </c>
      <c r="N43" s="2" t="n">
        <v>43869</v>
      </c>
      <c r="O43" s="1" t="n">
        <v>1</v>
      </c>
      <c r="P43" s="13" t="n">
        <v>43</v>
      </c>
      <c r="Q43" s="13" t="n">
        <v>26.81359045</v>
      </c>
      <c r="R43" s="2" t="n">
        <v>43861</v>
      </c>
      <c r="S43" s="14" t="n">
        <v>5.08</v>
      </c>
      <c r="T43" s="14" t="n">
        <v>0.773176</v>
      </c>
      <c r="U43" s="14" t="n">
        <v>0.52832</v>
      </c>
      <c r="V43" s="14" t="n">
        <v>183</v>
      </c>
      <c r="W43" s="2" t="n">
        <v>43861</v>
      </c>
      <c r="X43" s="14" t="n">
        <v>45.3</v>
      </c>
      <c r="Y43" s="14" t="n">
        <v>43.8</v>
      </c>
      <c r="Z43" s="14" t="n">
        <v>31</v>
      </c>
      <c r="AA43" s="14" t="n">
        <v>49</v>
      </c>
      <c r="AB43" s="14" t="n">
        <v>36.5</v>
      </c>
      <c r="AC43" s="14" t="n">
        <v>16.2</v>
      </c>
      <c r="AD43" s="14" t="n">
        <v>71</v>
      </c>
      <c r="AE43" s="13" t="n">
        <v>5.4</v>
      </c>
    </row>
    <row r="44" customFormat="false" ht="13.5" hidden="false" customHeight="false" outlineLevel="0" collapsed="false">
      <c r="A44" s="1" t="s">
        <v>234</v>
      </c>
      <c r="B44" s="1" t="s">
        <v>31</v>
      </c>
      <c r="C44" s="1" t="s">
        <v>235</v>
      </c>
      <c r="D44" s="1" t="s">
        <v>33</v>
      </c>
      <c r="E44" s="1" t="n">
        <v>3</v>
      </c>
      <c r="F44" s="1" t="s">
        <v>236</v>
      </c>
      <c r="G44" s="1" t="s">
        <v>31</v>
      </c>
      <c r="H44" s="1" t="s">
        <v>237</v>
      </c>
      <c r="I44" s="2" t="n">
        <v>43854</v>
      </c>
      <c r="J44" s="2" t="n">
        <v>43862</v>
      </c>
      <c r="K44" s="2" t="n">
        <v>43865</v>
      </c>
      <c r="L44" s="2" t="n">
        <v>43863</v>
      </c>
      <c r="M44" s="2" t="n">
        <v>43863</v>
      </c>
      <c r="N44" s="2" t="n">
        <v>43888</v>
      </c>
      <c r="O44" s="1" t="n">
        <v>1</v>
      </c>
      <c r="P44" s="13" t="n">
        <v>55</v>
      </c>
      <c r="Q44" s="13" t="n">
        <v>24.91349481</v>
      </c>
      <c r="R44" s="2" t="n">
        <v>43862</v>
      </c>
      <c r="S44" s="14" t="n">
        <v>6.08</v>
      </c>
      <c r="T44" s="14" t="n">
        <v>0.652992</v>
      </c>
      <c r="U44" s="14" t="n">
        <v>0.330752</v>
      </c>
      <c r="V44" s="13" t="n">
        <v>138</v>
      </c>
      <c r="W44" s="2" t="n">
        <v>43862</v>
      </c>
      <c r="X44" s="16" t="n">
        <v>89.8</v>
      </c>
      <c r="Y44" s="13" t="n">
        <v>44</v>
      </c>
      <c r="Z44" s="13" t="n">
        <v>61</v>
      </c>
      <c r="AA44" s="13" t="n">
        <v>32</v>
      </c>
      <c r="AB44" s="16" t="n">
        <v>20.9</v>
      </c>
      <c r="AC44" s="16" t="n">
        <v>8.5</v>
      </c>
      <c r="AD44" s="13" t="n">
        <v>142</v>
      </c>
      <c r="AE44" s="13" t="n">
        <v>21.37</v>
      </c>
    </row>
    <row r="45" customFormat="false" ht="13.5" hidden="false" customHeight="false" outlineLevel="0" collapsed="false">
      <c r="A45" s="1" t="s">
        <v>238</v>
      </c>
      <c r="B45" s="1" t="s">
        <v>31</v>
      </c>
      <c r="C45" s="1" t="s">
        <v>239</v>
      </c>
      <c r="D45" s="1" t="s">
        <v>33</v>
      </c>
      <c r="E45" s="1" t="n">
        <v>3</v>
      </c>
      <c r="F45" s="1" t="s">
        <v>236</v>
      </c>
      <c r="G45" s="1" t="s">
        <v>31</v>
      </c>
      <c r="H45" s="1" t="s">
        <v>240</v>
      </c>
      <c r="I45" s="2" t="n">
        <v>43854</v>
      </c>
      <c r="J45" s="2" t="n">
        <v>43862</v>
      </c>
      <c r="K45" s="2" t="n">
        <v>43865</v>
      </c>
      <c r="L45" s="2" t="n">
        <v>43863</v>
      </c>
      <c r="M45" s="2" t="n">
        <v>43863</v>
      </c>
      <c r="N45" s="2" t="n">
        <v>43895</v>
      </c>
      <c r="O45" s="1" t="n">
        <v>0</v>
      </c>
      <c r="P45" s="13" t="n">
        <v>65</v>
      </c>
      <c r="Q45" s="13" t="n">
        <v>24.08822312</v>
      </c>
      <c r="R45" s="2" t="n">
        <v>43865</v>
      </c>
      <c r="S45" s="14" t="n">
        <v>6.13</v>
      </c>
      <c r="T45" s="14" t="n">
        <v>0.462202</v>
      </c>
      <c r="U45" s="14" t="n">
        <v>0.210872</v>
      </c>
      <c r="V45" s="13" t="n">
        <v>124</v>
      </c>
      <c r="W45" s="2" t="n">
        <v>43865</v>
      </c>
      <c r="X45" s="16" t="n">
        <v>173.9</v>
      </c>
      <c r="Y45" s="13" t="n">
        <v>63.1</v>
      </c>
      <c r="Z45" s="13" t="n">
        <v>85</v>
      </c>
      <c r="AA45" s="13" t="n">
        <v>76</v>
      </c>
      <c r="AB45" s="16" t="n">
        <v>17.3</v>
      </c>
      <c r="AC45" s="16" t="n">
        <v>7.5</v>
      </c>
      <c r="AD45" s="13" t="n">
        <v>169</v>
      </c>
      <c r="AE45" s="13" t="n">
        <v>8.63</v>
      </c>
    </row>
    <row r="46" customFormat="false" ht="13.5" hidden="false" customHeight="false" outlineLevel="0" collapsed="false">
      <c r="A46" s="1" t="s">
        <v>241</v>
      </c>
      <c r="B46" s="1" t="s">
        <v>31</v>
      </c>
      <c r="C46" s="1" t="s">
        <v>242</v>
      </c>
      <c r="D46" s="1" t="s">
        <v>33</v>
      </c>
      <c r="E46" s="1" t="n">
        <v>3</v>
      </c>
      <c r="F46" s="1" t="s">
        <v>236</v>
      </c>
      <c r="G46" s="1" t="s">
        <v>31</v>
      </c>
      <c r="H46" s="1" t="s">
        <v>243</v>
      </c>
      <c r="I46" s="2" t="n">
        <v>43840</v>
      </c>
      <c r="J46" s="2" t="n">
        <v>43863</v>
      </c>
      <c r="K46" s="2" t="n">
        <v>43865</v>
      </c>
      <c r="L46" s="2" t="n">
        <v>43864</v>
      </c>
      <c r="M46" s="2" t="n">
        <v>43864</v>
      </c>
      <c r="N46" s="2" t="n">
        <v>43884</v>
      </c>
      <c r="O46" s="1" t="n">
        <v>1</v>
      </c>
      <c r="P46" s="13" t="n">
        <v>62</v>
      </c>
      <c r="Q46" s="13" t="s">
        <v>33</v>
      </c>
      <c r="R46" s="2" t="n">
        <v>43863</v>
      </c>
      <c r="S46" s="14" t="n">
        <v>5.62</v>
      </c>
      <c r="T46" s="14" t="n">
        <v>0.900324</v>
      </c>
      <c r="U46" s="14" t="n">
        <v>0.4215</v>
      </c>
      <c r="V46" s="13" t="n">
        <v>123</v>
      </c>
      <c r="W46" s="2" t="n">
        <v>43863</v>
      </c>
      <c r="X46" s="16" t="n">
        <v>7.1</v>
      </c>
      <c r="Y46" s="13" t="n">
        <v>53.2</v>
      </c>
      <c r="Z46" s="13" t="n">
        <v>57</v>
      </c>
      <c r="AA46" s="13" t="n">
        <v>33</v>
      </c>
      <c r="AB46" s="16" t="n">
        <v>18.8</v>
      </c>
      <c r="AC46" s="16" t="n">
        <v>6.8</v>
      </c>
      <c r="AD46" s="13" t="n">
        <v>72</v>
      </c>
      <c r="AE46" s="13" t="n">
        <v>7.31</v>
      </c>
    </row>
    <row r="47" customFormat="false" ht="13.5" hidden="false" customHeight="false" outlineLevel="0" collapsed="false">
      <c r="A47" s="1" t="s">
        <v>244</v>
      </c>
      <c r="B47" s="1" t="s">
        <v>31</v>
      </c>
      <c r="C47" s="1" t="s">
        <v>245</v>
      </c>
      <c r="D47" s="1" t="s">
        <v>33</v>
      </c>
      <c r="E47" s="1" t="n">
        <v>3</v>
      </c>
      <c r="F47" s="1" t="s">
        <v>236</v>
      </c>
      <c r="G47" s="1" t="s">
        <v>31</v>
      </c>
      <c r="H47" s="1" t="s">
        <v>246</v>
      </c>
      <c r="I47" s="2" t="n">
        <v>43851</v>
      </c>
      <c r="J47" s="2" t="n">
        <v>43861</v>
      </c>
      <c r="K47" s="2" t="n">
        <v>43861</v>
      </c>
      <c r="L47" s="2" t="n">
        <v>43863</v>
      </c>
      <c r="M47" s="2" t="n">
        <v>43863</v>
      </c>
      <c r="N47" s="2" t="n">
        <v>43881</v>
      </c>
      <c r="O47" s="1" t="n">
        <v>0</v>
      </c>
      <c r="P47" s="13" t="n">
        <v>59</v>
      </c>
      <c r="Q47" s="13" t="n">
        <v>28.3446712</v>
      </c>
      <c r="R47" s="2" t="n">
        <v>43861</v>
      </c>
      <c r="S47" s="14" t="n">
        <v>23.55</v>
      </c>
      <c r="T47" s="14" t="n">
        <v>0.64527</v>
      </c>
      <c r="U47" s="14" t="n">
        <v>0.69237</v>
      </c>
      <c r="V47" s="13" t="n">
        <v>287</v>
      </c>
      <c r="W47" s="2" t="n">
        <v>43861</v>
      </c>
      <c r="X47" s="16" t="n">
        <v>13</v>
      </c>
      <c r="Y47" s="13" t="n">
        <v>18.5</v>
      </c>
      <c r="Z47" s="13" t="n">
        <v>14</v>
      </c>
      <c r="AA47" s="13" t="n">
        <v>22</v>
      </c>
      <c r="AB47" s="16" t="n">
        <v>16.9</v>
      </c>
      <c r="AC47" s="16" t="n">
        <v>6.3</v>
      </c>
      <c r="AD47" s="13" t="n">
        <v>88</v>
      </c>
      <c r="AE47" s="13" t="n">
        <v>9.84</v>
      </c>
    </row>
    <row r="48" customFormat="false" ht="13.5" hidden="false" customHeight="false" outlineLevel="0" collapsed="false">
      <c r="A48" s="1" t="s">
        <v>331</v>
      </c>
      <c r="B48" s="1" t="s">
        <v>31</v>
      </c>
      <c r="C48" s="1" t="s">
        <v>331</v>
      </c>
      <c r="D48" s="1" t="s">
        <v>33</v>
      </c>
      <c r="E48" s="1" t="n">
        <v>2</v>
      </c>
      <c r="F48" s="1" t="s">
        <v>248</v>
      </c>
      <c r="G48" s="1" t="s">
        <v>31</v>
      </c>
      <c r="H48" s="1" t="s">
        <v>331</v>
      </c>
      <c r="I48" s="2" t="n">
        <v>43861</v>
      </c>
      <c r="J48" s="2" t="n">
        <v>43861</v>
      </c>
      <c r="K48" s="1" t="s">
        <v>33</v>
      </c>
      <c r="L48" s="2" t="n">
        <v>43862</v>
      </c>
      <c r="M48" s="2" t="n">
        <v>43862</v>
      </c>
      <c r="N48" s="2" t="n">
        <v>43901</v>
      </c>
      <c r="O48" s="1" t="n">
        <v>0</v>
      </c>
      <c r="P48" s="13" t="n">
        <v>55</v>
      </c>
      <c r="Q48" s="13" t="n">
        <v>21.71806609</v>
      </c>
      <c r="R48" s="2" t="n">
        <v>43861</v>
      </c>
      <c r="S48" s="14" t="n">
        <v>10</v>
      </c>
      <c r="T48" s="14" t="n">
        <v>1.6</v>
      </c>
      <c r="U48" s="14" t="n">
        <v>0.76</v>
      </c>
      <c r="V48" s="13" t="n">
        <v>290</v>
      </c>
      <c r="W48" s="2" t="n">
        <v>43861</v>
      </c>
      <c r="X48" s="16" t="n">
        <v>1.3</v>
      </c>
      <c r="Y48" s="13" t="n">
        <v>14</v>
      </c>
      <c r="Z48" s="13" t="n">
        <v>20</v>
      </c>
      <c r="AA48" s="13" t="n">
        <v>29</v>
      </c>
      <c r="AB48" s="16" t="n">
        <v>8.6</v>
      </c>
      <c r="AC48" s="16" t="n">
        <v>2.8</v>
      </c>
      <c r="AD48" s="13" t="n">
        <v>66</v>
      </c>
      <c r="AE48" s="13" t="n">
        <v>6.6</v>
      </c>
    </row>
    <row r="49" customFormat="false" ht="13.5" hidden="false" customHeight="false" outlineLevel="0" collapsed="false">
      <c r="A49" s="1" t="s">
        <v>332</v>
      </c>
      <c r="B49" s="1" t="s">
        <v>31</v>
      </c>
      <c r="C49" s="1" t="s">
        <v>332</v>
      </c>
      <c r="D49" s="1" t="s">
        <v>33</v>
      </c>
      <c r="E49" s="1" t="n">
        <v>2</v>
      </c>
      <c r="F49" s="1" t="s">
        <v>248</v>
      </c>
      <c r="G49" s="1" t="s">
        <v>31</v>
      </c>
      <c r="H49" s="1" t="s">
        <v>332</v>
      </c>
      <c r="I49" s="2" t="n">
        <v>43860</v>
      </c>
      <c r="J49" s="2" t="n">
        <v>43862</v>
      </c>
      <c r="K49" s="1" t="s">
        <v>33</v>
      </c>
      <c r="L49" s="2" t="n">
        <v>43863</v>
      </c>
      <c r="M49" s="2" t="n">
        <v>43863</v>
      </c>
      <c r="N49" s="2" t="n">
        <v>43895</v>
      </c>
      <c r="O49" s="1" t="n">
        <v>1</v>
      </c>
      <c r="P49" s="13" t="n">
        <v>18</v>
      </c>
      <c r="Q49" s="13" t="n">
        <v>20.06095444</v>
      </c>
      <c r="R49" s="2" t="n">
        <v>43862</v>
      </c>
      <c r="S49" s="14" t="n">
        <v>6.74</v>
      </c>
      <c r="T49" s="14" t="n">
        <v>1.6</v>
      </c>
      <c r="U49" s="14" t="n">
        <v>0.5</v>
      </c>
      <c r="V49" s="13" t="n">
        <v>215</v>
      </c>
      <c r="W49" s="2" t="n">
        <v>43862</v>
      </c>
      <c r="X49" s="16" t="n">
        <v>0.5</v>
      </c>
      <c r="Y49" s="13" t="n">
        <v>9.6</v>
      </c>
      <c r="Z49" s="13" t="n">
        <v>19</v>
      </c>
      <c r="AA49" s="13" t="n">
        <v>10</v>
      </c>
      <c r="AB49" s="16" t="n">
        <v>11.1</v>
      </c>
      <c r="AC49" s="16" t="n">
        <v>3.9</v>
      </c>
      <c r="AD49" s="13" t="n">
        <v>68</v>
      </c>
      <c r="AE49" s="13" t="n">
        <v>5.61</v>
      </c>
    </row>
    <row r="50" customFormat="false" ht="13.5" hidden="false" customHeight="false" outlineLevel="0" collapsed="false">
      <c r="A50" s="1" t="s">
        <v>333</v>
      </c>
      <c r="B50" s="1" t="s">
        <v>31</v>
      </c>
      <c r="C50" s="1" t="s">
        <v>333</v>
      </c>
      <c r="D50" s="1" t="s">
        <v>33</v>
      </c>
      <c r="E50" s="1" t="n">
        <v>2</v>
      </c>
      <c r="F50" s="1" t="s">
        <v>248</v>
      </c>
      <c r="G50" s="1" t="s">
        <v>31</v>
      </c>
      <c r="H50" s="1" t="s">
        <v>333</v>
      </c>
      <c r="I50" s="2" t="n">
        <v>43858</v>
      </c>
      <c r="J50" s="2" t="n">
        <v>43862</v>
      </c>
      <c r="K50" s="1" t="s">
        <v>33</v>
      </c>
      <c r="L50" s="2" t="n">
        <v>43863</v>
      </c>
      <c r="M50" s="2" t="n">
        <v>43863</v>
      </c>
      <c r="N50" s="2" t="n">
        <v>43869</v>
      </c>
      <c r="O50" s="1" t="n">
        <v>1</v>
      </c>
      <c r="P50" s="13" t="n">
        <v>36</v>
      </c>
      <c r="Q50" s="13" t="n">
        <v>21.8299522</v>
      </c>
      <c r="R50" s="2" t="n">
        <v>43862</v>
      </c>
      <c r="S50" s="14" t="n">
        <v>7.91</v>
      </c>
      <c r="T50" s="14" t="n">
        <v>2.42837</v>
      </c>
      <c r="U50" s="14" t="n">
        <v>0.71981</v>
      </c>
      <c r="V50" s="13" t="n">
        <v>334</v>
      </c>
      <c r="W50" s="2" t="n">
        <v>43862</v>
      </c>
      <c r="X50" s="16" t="n">
        <v>0.1</v>
      </c>
      <c r="Y50" s="13" t="n">
        <v>9.5</v>
      </c>
      <c r="Z50" s="13" t="n">
        <v>13</v>
      </c>
      <c r="AA50" s="13" t="n">
        <v>12</v>
      </c>
      <c r="AB50" s="16" t="n">
        <v>11.9</v>
      </c>
      <c r="AC50" s="16" t="n">
        <v>5</v>
      </c>
      <c r="AD50" s="13" t="n">
        <v>80</v>
      </c>
      <c r="AE50" s="13" t="n">
        <v>7.87</v>
      </c>
    </row>
    <row r="51" customFormat="false" ht="13.5" hidden="false" customHeight="false" outlineLevel="0" collapsed="false">
      <c r="A51" s="1" t="s">
        <v>334</v>
      </c>
      <c r="B51" s="1" t="s">
        <v>31</v>
      </c>
      <c r="C51" s="1" t="s">
        <v>334</v>
      </c>
      <c r="D51" s="1" t="s">
        <v>33</v>
      </c>
      <c r="E51" s="1" t="n">
        <v>2</v>
      </c>
      <c r="F51" s="1" t="s">
        <v>248</v>
      </c>
      <c r="G51" s="1" t="s">
        <v>31</v>
      </c>
      <c r="H51" s="1" t="s">
        <v>334</v>
      </c>
      <c r="I51" s="2" t="n">
        <v>43857</v>
      </c>
      <c r="J51" s="2" t="n">
        <v>43871</v>
      </c>
      <c r="K51" s="1" t="s">
        <v>33</v>
      </c>
      <c r="L51" s="2" t="n">
        <v>43872</v>
      </c>
      <c r="M51" s="2" t="n">
        <v>43872</v>
      </c>
      <c r="N51" s="2" t="n">
        <v>43894</v>
      </c>
      <c r="O51" s="1" t="n">
        <v>0</v>
      </c>
      <c r="P51" s="13" t="n">
        <v>54</v>
      </c>
      <c r="Q51" s="13" t="n">
        <v>24.3910588392529</v>
      </c>
      <c r="R51" s="2" t="n">
        <v>43871</v>
      </c>
      <c r="S51" s="14" t="n">
        <v>4</v>
      </c>
      <c r="T51" s="14" t="n">
        <v>1.372</v>
      </c>
      <c r="U51" s="14" t="n">
        <v>0.372</v>
      </c>
      <c r="V51" s="13" t="n">
        <v>254</v>
      </c>
      <c r="W51" s="2" t="n">
        <v>43871</v>
      </c>
      <c r="X51" s="16" t="n">
        <v>3.5</v>
      </c>
      <c r="Y51" s="13" t="n">
        <v>25.8</v>
      </c>
      <c r="Z51" s="13" t="n">
        <v>23</v>
      </c>
      <c r="AA51" s="13" t="n">
        <v>27</v>
      </c>
      <c r="AB51" s="16" t="n">
        <v>6.9</v>
      </c>
      <c r="AC51" s="16" t="n">
        <v>2.9</v>
      </c>
      <c r="AD51" s="13" t="n">
        <v>84</v>
      </c>
      <c r="AE51" s="13" t="n">
        <v>6.25</v>
      </c>
    </row>
    <row r="52" customFormat="false" ht="13.5" hidden="false" customHeight="false" outlineLevel="0" collapsed="false">
      <c r="A52" s="1" t="s">
        <v>335</v>
      </c>
      <c r="B52" s="1" t="s">
        <v>31</v>
      </c>
      <c r="C52" s="1" t="s">
        <v>335</v>
      </c>
      <c r="D52" s="1" t="s">
        <v>33</v>
      </c>
      <c r="E52" s="1" t="n">
        <v>2</v>
      </c>
      <c r="F52" s="1" t="s">
        <v>248</v>
      </c>
      <c r="G52" s="1" t="s">
        <v>31</v>
      </c>
      <c r="H52" s="1" t="s">
        <v>335</v>
      </c>
      <c r="I52" s="2" t="n">
        <v>43863</v>
      </c>
      <c r="J52" s="2" t="n">
        <v>43866</v>
      </c>
      <c r="K52" s="1" t="s">
        <v>33</v>
      </c>
      <c r="L52" s="2" t="n">
        <v>43867</v>
      </c>
      <c r="M52" s="2" t="n">
        <v>43867</v>
      </c>
      <c r="N52" s="2" t="n">
        <v>43893</v>
      </c>
      <c r="O52" s="1" t="n">
        <v>1</v>
      </c>
      <c r="P52" s="13" t="n">
        <v>37</v>
      </c>
      <c r="Q52" s="13" t="n">
        <v>22.4609375</v>
      </c>
      <c r="R52" s="2" t="n">
        <v>43866</v>
      </c>
      <c r="S52" s="14" t="n">
        <v>4.22</v>
      </c>
      <c r="T52" s="14" t="n">
        <v>1.419608</v>
      </c>
      <c r="U52" s="14" t="n">
        <v>0.292868</v>
      </c>
      <c r="V52" s="14" t="n">
        <v>160</v>
      </c>
      <c r="W52" s="2" t="n">
        <v>43866</v>
      </c>
      <c r="X52" s="14" t="n">
        <v>0.8</v>
      </c>
      <c r="Y52" s="14" t="n">
        <v>12.8</v>
      </c>
      <c r="Z52" s="14" t="n">
        <v>13</v>
      </c>
      <c r="AA52" s="14" t="n">
        <v>13</v>
      </c>
      <c r="AB52" s="14" t="n">
        <v>9</v>
      </c>
      <c r="AC52" s="14" t="n">
        <v>3.3</v>
      </c>
      <c r="AD52" s="14" t="n">
        <v>58</v>
      </c>
      <c r="AE52" s="13" t="n">
        <v>7.56</v>
      </c>
    </row>
    <row r="53" customFormat="false" ht="13.5" hidden="false" customHeight="false" outlineLevel="0" collapsed="false">
      <c r="A53" s="1" t="s">
        <v>336</v>
      </c>
      <c r="B53" s="1" t="s">
        <v>31</v>
      </c>
      <c r="C53" s="1" t="s">
        <v>336</v>
      </c>
      <c r="D53" s="1" t="s">
        <v>33</v>
      </c>
      <c r="E53" s="1" t="n">
        <v>2</v>
      </c>
      <c r="F53" s="1" t="s">
        <v>248</v>
      </c>
      <c r="G53" s="1" t="s">
        <v>31</v>
      </c>
      <c r="H53" s="1" t="s">
        <v>336</v>
      </c>
      <c r="I53" s="2" t="n">
        <v>43859</v>
      </c>
      <c r="J53" s="2" t="n">
        <v>43864</v>
      </c>
      <c r="K53" s="1" t="s">
        <v>33</v>
      </c>
      <c r="L53" s="2" t="n">
        <v>43865</v>
      </c>
      <c r="M53" s="2" t="n">
        <v>43865</v>
      </c>
      <c r="N53" s="2" t="n">
        <v>43897</v>
      </c>
      <c r="O53" s="1" t="n">
        <v>1</v>
      </c>
      <c r="P53" s="13" t="n">
        <v>51</v>
      </c>
      <c r="Q53" s="13" t="n">
        <v>24.08822312</v>
      </c>
      <c r="R53" s="2" t="n">
        <v>43864</v>
      </c>
      <c r="S53" s="14" t="n">
        <v>4.74</v>
      </c>
      <c r="T53" s="14" t="n">
        <v>1.63056</v>
      </c>
      <c r="U53" s="14" t="n">
        <v>0.48822</v>
      </c>
      <c r="V53" s="13" t="n">
        <v>223</v>
      </c>
      <c r="W53" s="2" t="n">
        <v>43864</v>
      </c>
      <c r="X53" s="16" t="n">
        <v>23.2</v>
      </c>
      <c r="Y53" s="13" t="n">
        <v>17.4</v>
      </c>
      <c r="Z53" s="13" t="n">
        <v>22</v>
      </c>
      <c r="AA53" s="13" t="n">
        <v>12</v>
      </c>
      <c r="AB53" s="16" t="n">
        <v>3.4</v>
      </c>
      <c r="AC53" s="16" t="n">
        <v>1.3</v>
      </c>
      <c r="AD53" s="13" t="n">
        <v>60</v>
      </c>
      <c r="AE53" s="13" t="n">
        <v>8.08</v>
      </c>
    </row>
    <row r="54" customFormat="false" ht="13.5" hidden="false" customHeight="false" outlineLevel="0" collapsed="false">
      <c r="A54" s="1" t="s">
        <v>337</v>
      </c>
      <c r="B54" s="1" t="s">
        <v>31</v>
      </c>
      <c r="C54" s="1" t="s">
        <v>337</v>
      </c>
      <c r="D54" s="1" t="s">
        <v>33</v>
      </c>
      <c r="E54" s="1" t="n">
        <v>2</v>
      </c>
      <c r="F54" s="1" t="s">
        <v>248</v>
      </c>
      <c r="G54" s="1" t="s">
        <v>31</v>
      </c>
      <c r="H54" s="1" t="s">
        <v>337</v>
      </c>
      <c r="I54" s="2" t="n">
        <v>43860</v>
      </c>
      <c r="J54" s="2" t="n">
        <v>43863</v>
      </c>
      <c r="K54" s="1" t="s">
        <v>33</v>
      </c>
      <c r="L54" s="2" t="n">
        <v>43864</v>
      </c>
      <c r="M54" s="2" t="n">
        <v>43864</v>
      </c>
      <c r="N54" s="2" t="n">
        <v>43873</v>
      </c>
      <c r="O54" s="1" t="n">
        <v>1</v>
      </c>
      <c r="P54" s="13" t="n">
        <v>48</v>
      </c>
      <c r="Q54" s="13" t="n">
        <v>23.14725512</v>
      </c>
      <c r="R54" s="2" t="n">
        <v>43863</v>
      </c>
      <c r="S54" s="14" t="n">
        <v>4.3</v>
      </c>
      <c r="T54" s="14" t="n">
        <v>1.4792</v>
      </c>
      <c r="U54" s="14" t="n">
        <v>0.3698</v>
      </c>
      <c r="V54" s="13" t="n">
        <v>182</v>
      </c>
      <c r="W54" s="2" t="n">
        <v>43863</v>
      </c>
      <c r="X54" s="16" t="n">
        <v>0.8</v>
      </c>
      <c r="Y54" s="13" t="n">
        <v>20.2</v>
      </c>
      <c r="Z54" s="13" t="n">
        <v>19</v>
      </c>
      <c r="AA54" s="13" t="n">
        <v>12</v>
      </c>
      <c r="AB54" s="16" t="n">
        <v>18.8</v>
      </c>
      <c r="AC54" s="16" t="n">
        <v>7.4</v>
      </c>
      <c r="AD54" s="13" t="n">
        <v>62</v>
      </c>
      <c r="AE54" s="13" t="n">
        <v>5.63</v>
      </c>
    </row>
    <row r="55" customFormat="false" ht="13.5" hidden="false" customHeight="false" outlineLevel="0" collapsed="false">
      <c r="A55" s="1" t="s">
        <v>338</v>
      </c>
      <c r="B55" s="1" t="s">
        <v>31</v>
      </c>
      <c r="C55" s="1" t="s">
        <v>338</v>
      </c>
      <c r="D55" s="1" t="s">
        <v>33</v>
      </c>
      <c r="E55" s="1" t="n">
        <v>2</v>
      </c>
      <c r="F55" s="1" t="s">
        <v>248</v>
      </c>
      <c r="G55" s="1" t="s">
        <v>31</v>
      </c>
      <c r="H55" s="1" t="s">
        <v>338</v>
      </c>
      <c r="I55" s="2" t="n">
        <v>43861</v>
      </c>
      <c r="J55" s="2" t="n">
        <v>43864</v>
      </c>
      <c r="K55" s="1" t="s">
        <v>33</v>
      </c>
      <c r="L55" s="2" t="n">
        <v>43865</v>
      </c>
      <c r="M55" s="2" t="n">
        <v>43865</v>
      </c>
      <c r="N55" s="2" t="n">
        <v>43882</v>
      </c>
      <c r="O55" s="1" t="n">
        <v>0</v>
      </c>
      <c r="P55" s="13" t="n">
        <v>66</v>
      </c>
      <c r="Q55" s="13" t="n">
        <v>24.91349481</v>
      </c>
      <c r="R55" s="2" t="n">
        <v>43864</v>
      </c>
      <c r="S55" s="14" t="n">
        <v>6.31</v>
      </c>
      <c r="T55" s="14" t="n">
        <v>1.67215</v>
      </c>
      <c r="U55" s="14" t="n">
        <v>0.49849</v>
      </c>
      <c r="V55" s="13" t="n">
        <v>241</v>
      </c>
      <c r="W55" s="2" t="n">
        <v>43864</v>
      </c>
      <c r="X55" s="16" t="n">
        <v>85.4</v>
      </c>
      <c r="Y55" s="13" t="n">
        <v>17.5</v>
      </c>
      <c r="Z55" s="13" t="n">
        <v>22</v>
      </c>
      <c r="AA55" s="13" t="n">
        <v>42</v>
      </c>
      <c r="AB55" s="16" t="n">
        <v>20.2</v>
      </c>
      <c r="AC55" s="16" t="n">
        <v>8.7</v>
      </c>
      <c r="AD55" s="13" t="n">
        <v>74</v>
      </c>
      <c r="AE55" s="13" t="n">
        <v>18.02</v>
      </c>
    </row>
    <row r="56" customFormat="false" ht="13.5" hidden="false" customHeight="false" outlineLevel="0" collapsed="false">
      <c r="A56" s="1" t="s">
        <v>339</v>
      </c>
      <c r="B56" s="1" t="s">
        <v>31</v>
      </c>
      <c r="C56" s="1" t="s">
        <v>339</v>
      </c>
      <c r="D56" s="1" t="s">
        <v>33</v>
      </c>
      <c r="E56" s="1" t="n">
        <v>2</v>
      </c>
      <c r="F56" s="1" t="s">
        <v>248</v>
      </c>
      <c r="G56" s="1" t="s">
        <v>31</v>
      </c>
      <c r="H56" s="1" t="s">
        <v>339</v>
      </c>
      <c r="I56" s="2" t="n">
        <v>43858</v>
      </c>
      <c r="J56" s="2" t="n">
        <v>43861</v>
      </c>
      <c r="K56" s="1" t="s">
        <v>33</v>
      </c>
      <c r="L56" s="2" t="n">
        <v>43862</v>
      </c>
      <c r="M56" s="2" t="n">
        <v>43862</v>
      </c>
      <c r="N56" s="2" t="n">
        <v>43869</v>
      </c>
      <c r="O56" s="1" t="n">
        <v>0</v>
      </c>
      <c r="P56" s="13" t="n">
        <v>37</v>
      </c>
      <c r="Q56" s="13" t="n">
        <v>22.83737024</v>
      </c>
      <c r="R56" s="2" t="n">
        <v>43861</v>
      </c>
      <c r="S56" s="14" t="n">
        <v>8.46</v>
      </c>
      <c r="T56" s="14" t="n">
        <v>2.36034</v>
      </c>
      <c r="U56" s="14" t="n">
        <v>0.38916</v>
      </c>
      <c r="V56" s="13" t="n">
        <v>247</v>
      </c>
      <c r="W56" s="2" t="n">
        <v>43861</v>
      </c>
      <c r="X56" s="16" t="n">
        <v>0.5</v>
      </c>
      <c r="Y56" s="13" t="n">
        <v>39.2</v>
      </c>
      <c r="Z56" s="13" t="n">
        <v>25</v>
      </c>
      <c r="AA56" s="13" t="n">
        <v>47</v>
      </c>
      <c r="AB56" s="16" t="n">
        <v>14.1</v>
      </c>
      <c r="AC56" s="16" t="n">
        <v>5.2</v>
      </c>
      <c r="AD56" s="13" t="n">
        <v>83</v>
      </c>
      <c r="AE56" s="13" t="n">
        <v>10.08</v>
      </c>
    </row>
    <row r="57" customFormat="false" ht="13.5" hidden="false" customHeight="false" outlineLevel="0" collapsed="false">
      <c r="A57" s="1" t="s">
        <v>340</v>
      </c>
      <c r="B57" s="1" t="s">
        <v>31</v>
      </c>
      <c r="C57" s="1" t="s">
        <v>340</v>
      </c>
      <c r="D57" s="1" t="s">
        <v>33</v>
      </c>
      <c r="E57" s="1" t="n">
        <v>2</v>
      </c>
      <c r="F57" s="1" t="s">
        <v>248</v>
      </c>
      <c r="G57" s="1" t="s">
        <v>31</v>
      </c>
      <c r="H57" s="1" t="s">
        <v>340</v>
      </c>
      <c r="I57" s="2" t="n">
        <v>43854</v>
      </c>
      <c r="J57" s="2" t="n">
        <v>43861</v>
      </c>
      <c r="K57" s="1" t="s">
        <v>33</v>
      </c>
      <c r="L57" s="2" t="n">
        <v>43862</v>
      </c>
      <c r="M57" s="2" t="n">
        <v>43862</v>
      </c>
      <c r="N57" s="2" t="n">
        <v>43879</v>
      </c>
      <c r="O57" s="1" t="n">
        <v>0</v>
      </c>
      <c r="P57" s="13" t="n">
        <v>46</v>
      </c>
      <c r="Q57" s="13" t="n">
        <v>27.6816609</v>
      </c>
      <c r="R57" s="2" t="n">
        <v>43861</v>
      </c>
      <c r="S57" s="14" t="n">
        <v>4.95</v>
      </c>
      <c r="T57" s="14" t="n">
        <v>1.782</v>
      </c>
      <c r="U57" s="14" t="n">
        <v>0.50985</v>
      </c>
      <c r="V57" s="13" t="n">
        <v>185</v>
      </c>
      <c r="W57" s="2" t="n">
        <v>43861</v>
      </c>
      <c r="X57" s="16" t="n">
        <v>16.6</v>
      </c>
      <c r="Y57" s="13" t="n">
        <v>42.9</v>
      </c>
      <c r="Z57" s="13" t="n">
        <v>36</v>
      </c>
      <c r="AA57" s="13" t="n">
        <v>74</v>
      </c>
      <c r="AB57" s="16" t="n">
        <v>9.9</v>
      </c>
      <c r="AC57" s="16" t="n">
        <v>4</v>
      </c>
      <c r="AD57" s="13" t="n">
        <v>88</v>
      </c>
      <c r="AE57" s="13" t="n">
        <v>5.65</v>
      </c>
    </row>
    <row r="58" customFormat="false" ht="13.5" hidden="false" customHeight="false" outlineLevel="0" collapsed="false">
      <c r="A58" s="1" t="s">
        <v>341</v>
      </c>
      <c r="B58" s="1" t="s">
        <v>31</v>
      </c>
      <c r="C58" s="1" t="s">
        <v>341</v>
      </c>
      <c r="D58" s="1" t="s">
        <v>33</v>
      </c>
      <c r="E58" s="1" t="n">
        <v>2</v>
      </c>
      <c r="F58" s="1" t="s">
        <v>248</v>
      </c>
      <c r="G58" s="1" t="s">
        <v>31</v>
      </c>
      <c r="H58" s="1" t="s">
        <v>341</v>
      </c>
      <c r="I58" s="2" t="n">
        <v>43853</v>
      </c>
      <c r="J58" s="2" t="n">
        <v>43862</v>
      </c>
      <c r="K58" s="1" t="s">
        <v>33</v>
      </c>
      <c r="L58" s="2" t="n">
        <v>43863</v>
      </c>
      <c r="M58" s="2" t="n">
        <v>43863</v>
      </c>
      <c r="N58" s="2" t="n">
        <v>43875</v>
      </c>
      <c r="O58" s="1" t="n">
        <v>0</v>
      </c>
      <c r="P58" s="13" t="n">
        <v>39</v>
      </c>
      <c r="Q58" s="13" t="n">
        <v>28.5467128</v>
      </c>
      <c r="R58" s="2" t="n">
        <v>43862</v>
      </c>
      <c r="S58" s="14" t="n">
        <v>5.54</v>
      </c>
      <c r="T58" s="14" t="n">
        <v>1.520176</v>
      </c>
      <c r="U58" s="14" t="n">
        <v>0.611616</v>
      </c>
      <c r="V58" s="14" t="n">
        <v>229</v>
      </c>
      <c r="W58" s="2" t="n">
        <v>43862</v>
      </c>
      <c r="X58" s="14" t="n">
        <v>17.8</v>
      </c>
      <c r="Y58" s="14" t="n">
        <v>21.7</v>
      </c>
      <c r="Z58" s="14" t="n">
        <v>22</v>
      </c>
      <c r="AA58" s="14" t="n">
        <v>38</v>
      </c>
      <c r="AB58" s="14" t="n">
        <v>17</v>
      </c>
      <c r="AC58" s="14" t="n">
        <v>5.5</v>
      </c>
      <c r="AD58" s="14" t="n">
        <v>101</v>
      </c>
      <c r="AE58" s="13" t="n">
        <v>6.78</v>
      </c>
    </row>
    <row r="59" customFormat="false" ht="13.5" hidden="false" customHeight="false" outlineLevel="0" collapsed="false">
      <c r="A59" s="1" t="s">
        <v>342</v>
      </c>
      <c r="B59" s="1" t="s">
        <v>31</v>
      </c>
      <c r="C59" s="1" t="s">
        <v>342</v>
      </c>
      <c r="D59" s="1" t="s">
        <v>33</v>
      </c>
      <c r="E59" s="1" t="n">
        <v>2</v>
      </c>
      <c r="F59" s="1" t="s">
        <v>248</v>
      </c>
      <c r="G59" s="1" t="s">
        <v>31</v>
      </c>
      <c r="H59" s="1" t="s">
        <v>342</v>
      </c>
      <c r="I59" s="2" t="n">
        <v>43860</v>
      </c>
      <c r="J59" s="2" t="n">
        <v>43863</v>
      </c>
      <c r="K59" s="1" t="s">
        <v>33</v>
      </c>
      <c r="L59" s="2" t="n">
        <v>43864</v>
      </c>
      <c r="M59" s="2" t="n">
        <v>43864</v>
      </c>
      <c r="N59" s="2" t="n">
        <v>43879</v>
      </c>
      <c r="O59" s="1" t="n">
        <v>0</v>
      </c>
      <c r="P59" s="13" t="n">
        <v>47</v>
      </c>
      <c r="Q59" s="13" t="n">
        <v>30.6793279766253</v>
      </c>
      <c r="R59" s="2" t="n">
        <v>43863</v>
      </c>
      <c r="S59" s="14" t="n">
        <v>13.29</v>
      </c>
      <c r="T59" s="14" t="n">
        <v>1.281156</v>
      </c>
      <c r="U59" s="14" t="n">
        <v>0.417306</v>
      </c>
      <c r="V59" s="13" t="n">
        <v>331</v>
      </c>
      <c r="W59" s="2" t="n">
        <v>43863</v>
      </c>
      <c r="X59" s="16" t="n">
        <v>5.2</v>
      </c>
      <c r="Y59" s="13" t="n">
        <v>67</v>
      </c>
      <c r="Z59" s="13" t="n">
        <v>24</v>
      </c>
      <c r="AA59" s="13" t="n">
        <v>108</v>
      </c>
      <c r="AB59" s="16" t="n">
        <v>10</v>
      </c>
      <c r="AC59" s="16" t="n">
        <v>3.8</v>
      </c>
      <c r="AD59" s="13" t="n">
        <v>75</v>
      </c>
      <c r="AE59" s="13" t="n">
        <v>12.94</v>
      </c>
    </row>
    <row r="60" customFormat="false" ht="13.5" hidden="false" customHeight="false" outlineLevel="0" collapsed="false">
      <c r="A60" s="1" t="s">
        <v>247</v>
      </c>
      <c r="B60" s="1" t="s">
        <v>31</v>
      </c>
      <c r="C60" s="1" t="s">
        <v>247</v>
      </c>
      <c r="D60" s="1" t="s">
        <v>33</v>
      </c>
      <c r="E60" s="1" t="n">
        <v>3</v>
      </c>
      <c r="F60" s="1" t="s">
        <v>248</v>
      </c>
      <c r="G60" s="1" t="s">
        <v>31</v>
      </c>
      <c r="H60" s="1" t="s">
        <v>247</v>
      </c>
      <c r="I60" s="2" t="n">
        <v>43862</v>
      </c>
      <c r="J60" s="2" t="n">
        <v>43870</v>
      </c>
      <c r="K60" s="2" t="n">
        <v>43870</v>
      </c>
      <c r="L60" s="2" t="n">
        <v>43870</v>
      </c>
      <c r="M60" s="2" t="n">
        <v>43870</v>
      </c>
      <c r="N60" s="2" t="n">
        <v>43887</v>
      </c>
      <c r="O60" s="1" t="n">
        <v>1</v>
      </c>
      <c r="P60" s="13" t="n">
        <v>65</v>
      </c>
      <c r="Q60" s="13" t="n">
        <v>22.2222222222222</v>
      </c>
      <c r="R60" s="2" t="n">
        <v>43870</v>
      </c>
      <c r="S60" s="14" t="n">
        <v>6.19</v>
      </c>
      <c r="T60" s="14" t="n">
        <v>0.689566</v>
      </c>
      <c r="U60" s="14" t="n">
        <v>0.522436</v>
      </c>
      <c r="V60" s="13" t="n">
        <v>257</v>
      </c>
      <c r="W60" s="2" t="n">
        <v>43870</v>
      </c>
      <c r="X60" s="16" t="n">
        <v>10.4</v>
      </c>
      <c r="Y60" s="13" t="n">
        <v>31.6</v>
      </c>
      <c r="Z60" s="13" t="n">
        <v>41</v>
      </c>
      <c r="AA60" s="13" t="n">
        <v>25</v>
      </c>
      <c r="AB60" s="16" t="n">
        <v>24.4</v>
      </c>
      <c r="AC60" s="16" t="n">
        <v>10.6</v>
      </c>
      <c r="AD60" s="13" t="n">
        <v>56</v>
      </c>
      <c r="AE60" s="13" t="n">
        <v>6.16</v>
      </c>
    </row>
    <row r="61" customFormat="false" ht="13.5" hidden="false" customHeight="false" outlineLevel="0" collapsed="false">
      <c r="A61" s="1" t="s">
        <v>249</v>
      </c>
      <c r="B61" s="1" t="s">
        <v>31</v>
      </c>
      <c r="C61" s="1" t="s">
        <v>249</v>
      </c>
      <c r="D61" s="1" t="s">
        <v>33</v>
      </c>
      <c r="E61" s="1" t="n">
        <v>3</v>
      </c>
      <c r="F61" s="1" t="s">
        <v>248</v>
      </c>
      <c r="G61" s="1" t="s">
        <v>31</v>
      </c>
      <c r="H61" s="1" t="s">
        <v>249</v>
      </c>
      <c r="I61" s="2" t="n">
        <v>43860</v>
      </c>
      <c r="J61" s="2" t="n">
        <v>43870</v>
      </c>
      <c r="K61" s="2" t="n">
        <v>43870</v>
      </c>
      <c r="L61" s="2" t="n">
        <v>43871</v>
      </c>
      <c r="M61" s="2" t="n">
        <v>43871</v>
      </c>
      <c r="N61" s="2" t="n">
        <v>43897</v>
      </c>
      <c r="O61" s="1" t="n">
        <v>1</v>
      </c>
      <c r="P61" s="13" t="n">
        <v>51</v>
      </c>
      <c r="Q61" s="13" t="s">
        <v>33</v>
      </c>
      <c r="R61" s="2" t="n">
        <v>43871</v>
      </c>
      <c r="S61" s="14" t="n">
        <v>4.38</v>
      </c>
      <c r="T61" s="14" t="n">
        <v>0.693792</v>
      </c>
      <c r="U61" s="14" t="n">
        <v>0.211992</v>
      </c>
      <c r="V61" s="13" t="n">
        <v>209</v>
      </c>
      <c r="W61" s="2" t="n">
        <v>43871</v>
      </c>
      <c r="X61" s="16" t="n">
        <v>16.7</v>
      </c>
      <c r="Y61" s="13" t="n">
        <v>17.8</v>
      </c>
      <c r="Z61" s="13" t="n">
        <v>27</v>
      </c>
      <c r="AA61" s="13" t="n">
        <v>19</v>
      </c>
      <c r="AB61" s="16" t="n">
        <v>19.8</v>
      </c>
      <c r="AC61" s="16" t="n">
        <v>7.4</v>
      </c>
      <c r="AD61" s="13" t="n">
        <v>75</v>
      </c>
      <c r="AE61" s="13" t="n">
        <v>7.64</v>
      </c>
    </row>
    <row r="62" customFormat="false" ht="13.5" hidden="false" customHeight="false" outlineLevel="0" collapsed="false">
      <c r="A62" s="1" t="s">
        <v>250</v>
      </c>
      <c r="B62" s="1" t="s">
        <v>31</v>
      </c>
      <c r="C62" s="1" t="s">
        <v>250</v>
      </c>
      <c r="D62" s="1" t="s">
        <v>33</v>
      </c>
      <c r="E62" s="1" t="n">
        <v>3</v>
      </c>
      <c r="F62" s="1" t="s">
        <v>248</v>
      </c>
      <c r="G62" s="1" t="s">
        <v>31</v>
      </c>
      <c r="H62" s="1" t="s">
        <v>250</v>
      </c>
      <c r="I62" s="2" t="n">
        <v>43862</v>
      </c>
      <c r="J62" s="2" t="n">
        <v>43868</v>
      </c>
      <c r="K62" s="2" t="n">
        <v>43870</v>
      </c>
      <c r="L62" s="2" t="n">
        <v>43869</v>
      </c>
      <c r="M62" s="2" t="n">
        <v>43869</v>
      </c>
      <c r="N62" s="2" t="n">
        <v>43899</v>
      </c>
      <c r="O62" s="1" t="n">
        <v>0</v>
      </c>
      <c r="P62" s="13" t="n">
        <v>56</v>
      </c>
      <c r="Q62" s="13" t="n">
        <v>26.5731292517007</v>
      </c>
      <c r="R62" s="2" t="n">
        <v>43868</v>
      </c>
      <c r="S62" s="14" t="n">
        <v>7.55</v>
      </c>
      <c r="T62" s="14" t="n">
        <v>0.24311</v>
      </c>
      <c r="U62" s="14" t="n">
        <v>0.2718</v>
      </c>
      <c r="V62" s="13" t="n">
        <v>112</v>
      </c>
      <c r="W62" s="2" t="n">
        <v>43868</v>
      </c>
      <c r="X62" s="16" t="n">
        <v>7</v>
      </c>
      <c r="Y62" s="13" t="n">
        <v>55.2</v>
      </c>
      <c r="Z62" s="13" t="n">
        <v>30</v>
      </c>
      <c r="AA62" s="13" t="n">
        <v>76</v>
      </c>
      <c r="AB62" s="16" t="n">
        <v>15.3</v>
      </c>
      <c r="AC62" s="16" t="n">
        <v>4.9</v>
      </c>
      <c r="AD62" s="13" t="n">
        <v>75</v>
      </c>
      <c r="AE62" s="13" t="n">
        <v>16.08</v>
      </c>
    </row>
    <row r="63" customFormat="false" ht="13.5" hidden="false" customHeight="false" outlineLevel="0" collapsed="false">
      <c r="A63" s="1" t="s">
        <v>251</v>
      </c>
      <c r="B63" s="1" t="s">
        <v>31</v>
      </c>
      <c r="C63" s="1" t="s">
        <v>251</v>
      </c>
      <c r="D63" s="1" t="s">
        <v>33</v>
      </c>
      <c r="E63" s="1" t="n">
        <v>3</v>
      </c>
      <c r="F63" s="1" t="s">
        <v>248</v>
      </c>
      <c r="G63" s="1" t="s">
        <v>31</v>
      </c>
      <c r="H63" s="1" t="s">
        <v>251</v>
      </c>
      <c r="I63" s="2" t="n">
        <v>43861</v>
      </c>
      <c r="J63" s="2" t="n">
        <v>43871</v>
      </c>
      <c r="K63" s="2" t="n">
        <v>43873</v>
      </c>
      <c r="L63" s="2" t="n">
        <v>43872</v>
      </c>
      <c r="M63" s="2" t="n">
        <v>43872</v>
      </c>
      <c r="N63" s="2" t="n">
        <v>43893</v>
      </c>
      <c r="O63" s="1" t="n">
        <v>0</v>
      </c>
      <c r="P63" s="13" t="n">
        <v>33</v>
      </c>
      <c r="Q63" s="13" t="n">
        <v>26.3656030286641</v>
      </c>
      <c r="R63" s="2" t="n">
        <v>43871</v>
      </c>
      <c r="S63" s="14" t="n">
        <v>10.05</v>
      </c>
      <c r="T63" s="14" t="n">
        <v>0.63717</v>
      </c>
      <c r="U63" s="14" t="n">
        <v>0.52662</v>
      </c>
      <c r="V63" s="13" t="n">
        <v>200</v>
      </c>
      <c r="W63" s="2" t="n">
        <v>43871</v>
      </c>
      <c r="X63" s="16" t="n">
        <v>29.9</v>
      </c>
      <c r="Y63" s="13" t="n">
        <v>17.5</v>
      </c>
      <c r="Z63" s="13" t="n">
        <v>13</v>
      </c>
      <c r="AA63" s="13" t="n">
        <v>37</v>
      </c>
      <c r="AB63" s="16" t="n">
        <v>11.6</v>
      </c>
      <c r="AC63" s="16" t="n">
        <v>3.3</v>
      </c>
      <c r="AD63" s="13" t="n">
        <v>93</v>
      </c>
      <c r="AE63" s="13" t="n">
        <v>9.92</v>
      </c>
    </row>
    <row r="64" customFormat="false" ht="13.5" hidden="false" customHeight="false" outlineLevel="0" collapsed="false">
      <c r="A64" s="1" t="s">
        <v>252</v>
      </c>
      <c r="B64" s="1" t="s">
        <v>31</v>
      </c>
      <c r="C64" s="1" t="s">
        <v>252</v>
      </c>
      <c r="D64" s="1" t="s">
        <v>33</v>
      </c>
      <c r="E64" s="1" t="n">
        <v>3</v>
      </c>
      <c r="F64" s="1" t="s">
        <v>248</v>
      </c>
      <c r="G64" s="1" t="s">
        <v>31</v>
      </c>
      <c r="H64" s="1" t="s">
        <v>252</v>
      </c>
      <c r="I64" s="2" t="n">
        <v>43860</v>
      </c>
      <c r="J64" s="2" t="n">
        <v>43867</v>
      </c>
      <c r="K64" s="2" t="n">
        <v>43868</v>
      </c>
      <c r="L64" s="2" t="n">
        <v>43868</v>
      </c>
      <c r="M64" s="2" t="n">
        <v>43868</v>
      </c>
      <c r="N64" s="2" t="n">
        <v>43900</v>
      </c>
      <c r="O64" s="1" t="n">
        <v>0</v>
      </c>
      <c r="P64" s="13" t="n">
        <v>68</v>
      </c>
      <c r="Q64" s="13" t="s">
        <v>33</v>
      </c>
      <c r="R64" s="2" t="n">
        <v>43867</v>
      </c>
      <c r="S64" s="14" t="n">
        <v>7.76</v>
      </c>
      <c r="T64" s="14" t="n">
        <v>0.4</v>
      </c>
      <c r="U64" s="14" t="n">
        <v>0.4</v>
      </c>
      <c r="V64" s="13" t="n">
        <v>151</v>
      </c>
      <c r="W64" s="2" t="n">
        <v>43867</v>
      </c>
      <c r="X64" s="16" t="n">
        <v>1.3</v>
      </c>
      <c r="Y64" s="13" t="n">
        <v>10.1</v>
      </c>
      <c r="Z64" s="13" t="n">
        <v>28</v>
      </c>
      <c r="AA64" s="13" t="n">
        <v>22</v>
      </c>
      <c r="AB64" s="16" t="n">
        <v>11.2</v>
      </c>
      <c r="AC64" s="16" t="n">
        <v>3.9</v>
      </c>
      <c r="AD64" s="13" t="n">
        <v>61</v>
      </c>
      <c r="AE64" s="13" t="n">
        <v>8.29</v>
      </c>
    </row>
    <row r="65" customFormat="false" ht="13.5" hidden="false" customHeight="false" outlineLevel="0" collapsed="false">
      <c r="A65" s="1" t="s">
        <v>253</v>
      </c>
      <c r="B65" s="1" t="s">
        <v>31</v>
      </c>
      <c r="C65" s="1" t="s">
        <v>253</v>
      </c>
      <c r="D65" s="1" t="s">
        <v>33</v>
      </c>
      <c r="E65" s="1" t="n">
        <v>3</v>
      </c>
      <c r="F65" s="1" t="s">
        <v>248</v>
      </c>
      <c r="G65" s="1" t="s">
        <v>31</v>
      </c>
      <c r="H65" s="1" t="s">
        <v>253</v>
      </c>
      <c r="I65" s="2" t="n">
        <v>43875</v>
      </c>
      <c r="J65" s="2" t="n">
        <v>43876</v>
      </c>
      <c r="K65" s="2" t="n">
        <v>43876</v>
      </c>
      <c r="L65" s="2" t="n">
        <v>43878</v>
      </c>
      <c r="M65" s="2" t="n">
        <v>43878</v>
      </c>
      <c r="N65" s="2" t="n">
        <v>43897</v>
      </c>
      <c r="O65" s="1" t="n">
        <v>1</v>
      </c>
      <c r="P65" s="13" t="n">
        <v>77</v>
      </c>
      <c r="Q65" s="13" t="n">
        <v>26.2226847034339</v>
      </c>
      <c r="R65" s="2" t="n">
        <v>43877</v>
      </c>
      <c r="S65" s="14" t="n">
        <v>4.31</v>
      </c>
      <c r="T65" s="14" t="n">
        <v>0.862</v>
      </c>
      <c r="U65" s="14" t="n">
        <v>0.33187</v>
      </c>
      <c r="V65" s="14" t="n">
        <v>161</v>
      </c>
      <c r="W65" s="2" t="n">
        <v>43877</v>
      </c>
      <c r="X65" s="14" t="n">
        <v>27.2</v>
      </c>
      <c r="Y65" s="14" t="n">
        <v>9.5</v>
      </c>
      <c r="Z65" s="14" t="n">
        <v>15</v>
      </c>
      <c r="AA65" s="14" t="n">
        <v>14</v>
      </c>
      <c r="AB65" s="14" t="n">
        <v>9.2</v>
      </c>
      <c r="AC65" s="14" t="n">
        <v>3.8</v>
      </c>
      <c r="AD65" s="14" t="n">
        <v>81</v>
      </c>
      <c r="AE65" s="13" t="n">
        <v>8.01</v>
      </c>
    </row>
    <row r="66" customFormat="false" ht="13.5" hidden="false" customHeight="false" outlineLevel="0" collapsed="false">
      <c r="A66" s="1" t="s">
        <v>254</v>
      </c>
      <c r="B66" s="1" t="s">
        <v>31</v>
      </c>
      <c r="C66" s="1" t="s">
        <v>254</v>
      </c>
      <c r="D66" s="1" t="s">
        <v>33</v>
      </c>
      <c r="E66" s="1" t="n">
        <v>3</v>
      </c>
      <c r="F66" s="1" t="s">
        <v>248</v>
      </c>
      <c r="G66" s="1" t="s">
        <v>31</v>
      </c>
      <c r="H66" s="1" t="s">
        <v>254</v>
      </c>
      <c r="I66" s="2" t="n">
        <v>43856</v>
      </c>
      <c r="J66" s="2" t="n">
        <v>43864</v>
      </c>
      <c r="K66" s="2" t="n">
        <v>43864</v>
      </c>
      <c r="L66" s="2" t="n">
        <v>43865</v>
      </c>
      <c r="M66" s="2" t="n">
        <v>43865</v>
      </c>
      <c r="N66" s="2" t="n">
        <v>43894</v>
      </c>
      <c r="O66" s="1" t="n">
        <v>0</v>
      </c>
      <c r="P66" s="13" t="n">
        <v>44</v>
      </c>
      <c r="Q66" s="13" t="n">
        <v>29.41176471</v>
      </c>
      <c r="R66" s="2" t="n">
        <v>43864</v>
      </c>
      <c r="S66" s="14" t="n">
        <v>5.91</v>
      </c>
      <c r="T66" s="14" t="n">
        <v>1.190274</v>
      </c>
      <c r="U66" s="14" t="n">
        <v>0.622914</v>
      </c>
      <c r="V66" s="13" t="n">
        <v>287</v>
      </c>
      <c r="W66" s="2" t="n">
        <v>43864</v>
      </c>
      <c r="X66" s="16" t="n">
        <v>56.5</v>
      </c>
      <c r="Y66" s="13" t="n">
        <v>28.1</v>
      </c>
      <c r="Z66" s="13" t="n">
        <v>28</v>
      </c>
      <c r="AA66" s="13" t="n">
        <v>37</v>
      </c>
      <c r="AB66" s="16" t="n">
        <v>10.5</v>
      </c>
      <c r="AC66" s="16" t="n">
        <v>4.7</v>
      </c>
      <c r="AD66" s="13" t="n">
        <v>75</v>
      </c>
      <c r="AE66" s="13" t="n">
        <v>9.44</v>
      </c>
    </row>
    <row r="67" customFormat="false" ht="13.5" hidden="false" customHeight="false" outlineLevel="0" collapsed="false">
      <c r="A67" s="1" t="s">
        <v>108</v>
      </c>
      <c r="B67" s="1" t="s">
        <v>31</v>
      </c>
      <c r="C67" s="1" t="s">
        <v>109</v>
      </c>
      <c r="D67" s="1" t="s">
        <v>33</v>
      </c>
      <c r="E67" s="1" t="n">
        <v>1</v>
      </c>
      <c r="G67" s="1" t="s">
        <v>31</v>
      </c>
      <c r="H67" s="1" t="s">
        <v>110</v>
      </c>
      <c r="J67" s="2" t="n">
        <v>43852</v>
      </c>
      <c r="O67" s="1" t="n">
        <v>1</v>
      </c>
      <c r="P67" s="13" t="n">
        <v>61</v>
      </c>
      <c r="Q67" s="13" t="n">
        <v>20.76124567</v>
      </c>
      <c r="R67" s="2" t="n">
        <v>43852</v>
      </c>
      <c r="S67" s="14" t="n">
        <v>12.2</v>
      </c>
      <c r="T67" s="14" t="n">
        <v>0.8</v>
      </c>
      <c r="U67" s="14" t="n">
        <v>0.7</v>
      </c>
      <c r="V67" s="14" t="n">
        <v>116</v>
      </c>
      <c r="W67" s="2" t="n">
        <v>43853</v>
      </c>
      <c r="X67" s="14" t="n">
        <v>22.3</v>
      </c>
      <c r="Y67" s="14" t="n">
        <v>52</v>
      </c>
      <c r="Z67" s="14" t="n">
        <v>172</v>
      </c>
      <c r="AA67" s="14" t="n">
        <v>15</v>
      </c>
      <c r="AB67" s="14" t="n">
        <v>14.9</v>
      </c>
      <c r="AC67" s="14" t="n">
        <v>6</v>
      </c>
      <c r="AD67" s="14" t="n">
        <v>67</v>
      </c>
      <c r="AE67" s="20" t="n">
        <v>5.66</v>
      </c>
    </row>
    <row r="68" customFormat="false" ht="13.5" hidden="false" customHeight="false" outlineLevel="0" collapsed="false">
      <c r="A68" s="1" t="s">
        <v>111</v>
      </c>
      <c r="B68" s="1" t="s">
        <v>31</v>
      </c>
      <c r="C68" s="1" t="s">
        <v>112</v>
      </c>
      <c r="D68" s="1" t="s">
        <v>33</v>
      </c>
      <c r="E68" s="1" t="n">
        <v>1</v>
      </c>
      <c r="G68" s="1" t="s">
        <v>31</v>
      </c>
      <c r="H68" s="1" t="s">
        <v>113</v>
      </c>
      <c r="J68" s="2" t="n">
        <v>43867</v>
      </c>
      <c r="O68" s="1" t="n">
        <v>1</v>
      </c>
      <c r="P68" s="13" t="n">
        <v>57</v>
      </c>
      <c r="Q68" s="13" t="n">
        <v>24.74093729</v>
      </c>
      <c r="R68" s="2" t="n">
        <v>43868</v>
      </c>
      <c r="S68" s="14" t="n">
        <v>6.6</v>
      </c>
      <c r="T68" s="14" t="n">
        <v>1.9</v>
      </c>
      <c r="U68" s="14" t="n">
        <v>0.6</v>
      </c>
      <c r="V68" s="14" t="n">
        <v>166</v>
      </c>
      <c r="W68" s="2" t="n">
        <v>43868</v>
      </c>
      <c r="X68" s="14" t="s">
        <v>33</v>
      </c>
      <c r="Y68" s="14" t="n">
        <v>824</v>
      </c>
      <c r="Z68" s="14" t="n">
        <v>743</v>
      </c>
      <c r="AA68" s="14" t="n">
        <v>148</v>
      </c>
      <c r="AB68" s="14" t="n">
        <v>403.4</v>
      </c>
      <c r="AC68" s="14" t="n">
        <v>254.4</v>
      </c>
      <c r="AD68" s="14" t="n">
        <v>87</v>
      </c>
      <c r="AE68" s="20" t="n">
        <v>3.65</v>
      </c>
    </row>
    <row r="69" customFormat="false" ht="13.5" hidden="false" customHeight="false" outlineLevel="0" collapsed="false">
      <c r="A69" s="1" t="s">
        <v>114</v>
      </c>
      <c r="B69" s="1" t="s">
        <v>31</v>
      </c>
      <c r="C69" s="1" t="s">
        <v>115</v>
      </c>
      <c r="D69" s="1" t="s">
        <v>33</v>
      </c>
      <c r="E69" s="1" t="n">
        <v>1</v>
      </c>
      <c r="G69" s="1" t="s">
        <v>31</v>
      </c>
      <c r="H69" s="1" t="s">
        <v>116</v>
      </c>
      <c r="J69" s="2" t="n">
        <v>43855</v>
      </c>
      <c r="O69" s="1" t="n">
        <v>1</v>
      </c>
      <c r="P69" s="13" t="n">
        <v>53</v>
      </c>
      <c r="Q69" s="13" t="s">
        <v>33</v>
      </c>
      <c r="R69" s="2" t="n">
        <v>43855</v>
      </c>
      <c r="S69" s="14" t="n">
        <v>13.5</v>
      </c>
      <c r="T69" s="14" t="n">
        <v>0.9</v>
      </c>
      <c r="U69" s="14" t="n">
        <v>0.3</v>
      </c>
      <c r="V69" s="14" t="n">
        <v>332</v>
      </c>
      <c r="W69" s="2" t="n">
        <v>43855</v>
      </c>
      <c r="X69" s="14" t="n">
        <v>10.9</v>
      </c>
      <c r="Y69" s="14" t="n">
        <v>9</v>
      </c>
      <c r="Z69" s="14" t="n">
        <v>18</v>
      </c>
      <c r="AA69" s="14" t="n">
        <v>9</v>
      </c>
      <c r="AB69" s="14" t="n">
        <v>16</v>
      </c>
      <c r="AC69" s="14" t="n">
        <v>2.2</v>
      </c>
      <c r="AD69" s="14" t="n">
        <v>4</v>
      </c>
      <c r="AE69" s="20" t="n">
        <v>6.85</v>
      </c>
    </row>
    <row r="70" customFormat="false" ht="13.5" hidden="false" customHeight="false" outlineLevel="0" collapsed="false">
      <c r="A70" s="1" t="s">
        <v>117</v>
      </c>
      <c r="B70" s="1" t="s">
        <v>31</v>
      </c>
      <c r="C70" s="1" t="s">
        <v>118</v>
      </c>
      <c r="D70" s="1" t="s">
        <v>33</v>
      </c>
      <c r="E70" s="1" t="n">
        <v>1</v>
      </c>
      <c r="G70" s="1" t="s">
        <v>31</v>
      </c>
      <c r="H70" s="1" t="s">
        <v>119</v>
      </c>
      <c r="J70" s="2" t="n">
        <v>43864</v>
      </c>
      <c r="O70" s="1" t="n">
        <v>1</v>
      </c>
      <c r="P70" s="13" t="n">
        <v>65</v>
      </c>
      <c r="Q70" s="13" t="n">
        <v>26.98961938</v>
      </c>
      <c r="R70" s="2" t="n">
        <v>43865</v>
      </c>
      <c r="S70" s="14" t="n">
        <v>6.8</v>
      </c>
      <c r="T70" s="14" t="n">
        <v>3</v>
      </c>
      <c r="U70" s="14" t="n">
        <v>0.5</v>
      </c>
      <c r="V70" s="14" t="n">
        <v>171</v>
      </c>
      <c r="W70" s="2" t="n">
        <v>43865</v>
      </c>
      <c r="X70" s="16" t="s">
        <v>33</v>
      </c>
      <c r="Y70" s="16" t="n">
        <v>73</v>
      </c>
      <c r="Z70" s="16" t="n">
        <v>58</v>
      </c>
      <c r="AA70" s="16" t="n">
        <v>264</v>
      </c>
      <c r="AB70" s="16" t="n">
        <v>26.4</v>
      </c>
      <c r="AC70" s="16" t="n">
        <v>10.4</v>
      </c>
      <c r="AD70" s="16" t="n">
        <v>58</v>
      </c>
      <c r="AE70" s="20" t="n">
        <v>4.25</v>
      </c>
    </row>
    <row r="71" customFormat="false" ht="13.5" hidden="false" customHeight="false" outlineLevel="0" collapsed="false">
      <c r="A71" s="1" t="s">
        <v>120</v>
      </c>
      <c r="B71" s="1" t="s">
        <v>31</v>
      </c>
      <c r="C71" s="1" t="s">
        <v>121</v>
      </c>
      <c r="D71" s="1" t="s">
        <v>33</v>
      </c>
      <c r="E71" s="1" t="n">
        <v>1</v>
      </c>
      <c r="G71" s="1" t="s">
        <v>31</v>
      </c>
      <c r="H71" s="1" t="s">
        <v>122</v>
      </c>
      <c r="J71" s="2" t="n">
        <v>43863</v>
      </c>
      <c r="O71" s="1" t="n">
        <v>1</v>
      </c>
      <c r="P71" s="13" t="n">
        <v>60</v>
      </c>
      <c r="Q71" s="13" t="n">
        <v>20.76124567</v>
      </c>
      <c r="R71" s="2" t="n">
        <v>43863</v>
      </c>
      <c r="S71" s="14" t="n">
        <v>5.6</v>
      </c>
      <c r="T71" s="14" t="n">
        <v>0.5</v>
      </c>
      <c r="U71" s="14" t="n">
        <v>0.2</v>
      </c>
      <c r="V71" s="14" t="n">
        <v>80</v>
      </c>
      <c r="W71" s="2" t="n">
        <v>43863</v>
      </c>
      <c r="X71" s="16" t="n">
        <v>10.3</v>
      </c>
      <c r="Y71" s="16" t="n">
        <v>30</v>
      </c>
      <c r="Z71" s="16" t="n">
        <v>35</v>
      </c>
      <c r="AA71" s="16" t="n">
        <v>27</v>
      </c>
      <c r="AB71" s="16" t="n">
        <v>10.8</v>
      </c>
      <c r="AC71" s="16" t="n">
        <v>4.9</v>
      </c>
      <c r="AD71" s="16" t="n">
        <v>65</v>
      </c>
      <c r="AE71" s="20" t="n">
        <v>5.58</v>
      </c>
    </row>
    <row r="72" customFormat="false" ht="13.5" hidden="false" customHeight="false" outlineLevel="0" collapsed="false">
      <c r="A72" s="1" t="s">
        <v>123</v>
      </c>
      <c r="B72" s="1" t="s">
        <v>31</v>
      </c>
      <c r="C72" s="1" t="s">
        <v>124</v>
      </c>
      <c r="D72" s="1" t="s">
        <v>33</v>
      </c>
      <c r="E72" s="1" t="n">
        <v>1</v>
      </c>
      <c r="G72" s="1" t="s">
        <v>31</v>
      </c>
      <c r="H72" s="1" t="s">
        <v>125</v>
      </c>
      <c r="J72" s="2" t="n">
        <v>43865</v>
      </c>
      <c r="O72" s="1" t="n">
        <v>1</v>
      </c>
      <c r="P72" s="13" t="n">
        <v>61</v>
      </c>
      <c r="Q72" s="13" t="n">
        <v>27.04164413</v>
      </c>
      <c r="R72" s="2" t="n">
        <v>43866</v>
      </c>
      <c r="S72" s="14" t="n">
        <v>6.5</v>
      </c>
      <c r="T72" s="14" t="n">
        <v>0.6</v>
      </c>
      <c r="U72" s="14" t="n">
        <v>0.4</v>
      </c>
      <c r="V72" s="14" t="n">
        <v>37</v>
      </c>
      <c r="W72" s="2" t="n">
        <v>43866</v>
      </c>
      <c r="X72" s="16" t="n">
        <v>49</v>
      </c>
      <c r="Y72" s="16" t="n">
        <v>54</v>
      </c>
      <c r="Z72" s="16" t="n">
        <v>66</v>
      </c>
      <c r="AA72" s="16" t="n">
        <v>57</v>
      </c>
      <c r="AB72" s="16" t="n">
        <v>146.9</v>
      </c>
      <c r="AC72" s="16" t="n">
        <v>78.5</v>
      </c>
      <c r="AD72" s="16" t="n">
        <v>82</v>
      </c>
      <c r="AE72" s="20" t="n">
        <v>5.87</v>
      </c>
    </row>
    <row r="73" customFormat="false" ht="13.5" hidden="false" customHeight="false" outlineLevel="0" collapsed="false">
      <c r="A73" s="1" t="s">
        <v>126</v>
      </c>
      <c r="B73" s="1" t="s">
        <v>31</v>
      </c>
      <c r="C73" s="1" t="s">
        <v>127</v>
      </c>
      <c r="D73" s="1" t="s">
        <v>33</v>
      </c>
      <c r="E73" s="1" t="n">
        <v>1</v>
      </c>
      <c r="G73" s="1" t="s">
        <v>31</v>
      </c>
      <c r="H73" s="1" t="s">
        <v>128</v>
      </c>
      <c r="J73" s="2" t="n">
        <v>43864</v>
      </c>
      <c r="O73" s="1" t="n">
        <v>1</v>
      </c>
      <c r="P73" s="13" t="n">
        <v>48</v>
      </c>
      <c r="Q73" s="13" t="n">
        <v>26.12244898</v>
      </c>
      <c r="R73" s="2" t="n">
        <v>43865</v>
      </c>
      <c r="S73" s="14" t="n">
        <v>9.6</v>
      </c>
      <c r="T73" s="14" t="n">
        <v>0.9</v>
      </c>
      <c r="U73" s="14" t="n">
        <v>0.8</v>
      </c>
      <c r="V73" s="14" t="n">
        <v>123</v>
      </c>
      <c r="W73" s="2" t="n">
        <v>43865</v>
      </c>
      <c r="X73" s="16" t="n">
        <v>103.9</v>
      </c>
      <c r="Y73" s="16" t="n">
        <v>97</v>
      </c>
      <c r="Z73" s="16" t="n">
        <v>85</v>
      </c>
      <c r="AA73" s="16" t="n">
        <v>57</v>
      </c>
      <c r="AB73" s="16" t="n">
        <v>12.8</v>
      </c>
      <c r="AC73" s="16" t="n">
        <v>5.3</v>
      </c>
      <c r="AD73" s="16" t="n">
        <v>79</v>
      </c>
      <c r="AE73" s="20" t="n">
        <v>6.27</v>
      </c>
    </row>
    <row r="74" customFormat="false" ht="13.5" hidden="false" customHeight="false" outlineLevel="0" collapsed="false">
      <c r="A74" s="1" t="s">
        <v>129</v>
      </c>
      <c r="B74" s="1" t="s">
        <v>31</v>
      </c>
      <c r="C74" s="1" t="s">
        <v>130</v>
      </c>
      <c r="D74" s="1" t="s">
        <v>33</v>
      </c>
      <c r="E74" s="1" t="n">
        <v>1</v>
      </c>
      <c r="G74" s="1" t="s">
        <v>31</v>
      </c>
      <c r="H74" s="1" t="s">
        <v>131</v>
      </c>
      <c r="J74" s="2" t="n">
        <v>43867</v>
      </c>
      <c r="O74" s="1" t="n">
        <v>0</v>
      </c>
      <c r="P74" s="13" t="n">
        <v>55</v>
      </c>
      <c r="Q74" s="13" t="n">
        <v>21.22788762</v>
      </c>
      <c r="R74" s="2" t="n">
        <v>43868</v>
      </c>
      <c r="S74" s="14" t="n">
        <v>7.1</v>
      </c>
      <c r="T74" s="14" t="n">
        <v>1.6</v>
      </c>
      <c r="U74" s="14" t="n">
        <v>0.6</v>
      </c>
      <c r="V74" s="14" t="n">
        <v>225</v>
      </c>
      <c r="W74" s="2" t="n">
        <v>43868</v>
      </c>
      <c r="X74" s="16" t="n">
        <v>2.1</v>
      </c>
      <c r="Y74" s="16" t="n">
        <v>10</v>
      </c>
      <c r="Z74" s="16" t="n">
        <v>19</v>
      </c>
      <c r="AA74" s="16" t="n">
        <v>17</v>
      </c>
      <c r="AB74" s="16" t="n">
        <v>22.8</v>
      </c>
      <c r="AC74" s="16" t="n">
        <v>4.7</v>
      </c>
      <c r="AD74" s="16" t="n">
        <v>68</v>
      </c>
      <c r="AE74" s="20" t="n">
        <v>5.46</v>
      </c>
    </row>
    <row r="75" customFormat="false" ht="13.5" hidden="false" customHeight="false" outlineLevel="0" collapsed="false">
      <c r="A75" s="1" t="s">
        <v>132</v>
      </c>
      <c r="B75" s="1" t="s">
        <v>31</v>
      </c>
      <c r="C75" s="1" t="s">
        <v>133</v>
      </c>
      <c r="D75" s="1" t="s">
        <v>134</v>
      </c>
      <c r="E75" s="1" t="n">
        <v>1</v>
      </c>
      <c r="G75" s="1" t="s">
        <v>31</v>
      </c>
      <c r="H75" s="1" t="s">
        <v>135</v>
      </c>
      <c r="J75" s="2" t="n">
        <v>43867</v>
      </c>
      <c r="O75" s="1" t="n">
        <v>1</v>
      </c>
      <c r="P75" s="13" t="n">
        <v>56</v>
      </c>
      <c r="Q75" s="13" t="s">
        <v>33</v>
      </c>
      <c r="R75" s="2" t="n">
        <v>43868</v>
      </c>
      <c r="S75" s="14" t="n">
        <v>5.5</v>
      </c>
      <c r="T75" s="14" t="n">
        <v>0.6</v>
      </c>
      <c r="U75" s="14" t="n">
        <v>0.8</v>
      </c>
      <c r="V75" s="14" t="n">
        <v>214</v>
      </c>
      <c r="W75" s="2" t="n">
        <v>43867</v>
      </c>
      <c r="X75" s="16" t="n">
        <v>24.3</v>
      </c>
      <c r="Y75" s="16" t="n">
        <v>12</v>
      </c>
      <c r="Z75" s="16" t="n">
        <v>25</v>
      </c>
      <c r="AA75" s="16" t="n">
        <v>28</v>
      </c>
      <c r="AB75" s="16" t="n">
        <v>11.4</v>
      </c>
      <c r="AC75" s="16" t="n">
        <v>3.9</v>
      </c>
      <c r="AD75" s="16" t="n">
        <v>95</v>
      </c>
      <c r="AE75" s="20" t="n">
        <v>5.69</v>
      </c>
    </row>
    <row r="76" customFormat="false" ht="13.5" hidden="false" customHeight="false" outlineLevel="0" collapsed="false">
      <c r="A76" s="1" t="s">
        <v>136</v>
      </c>
      <c r="B76" s="1" t="s">
        <v>31</v>
      </c>
      <c r="C76" s="1" t="s">
        <v>137</v>
      </c>
      <c r="D76" s="1" t="s">
        <v>33</v>
      </c>
      <c r="E76" s="1" t="n">
        <v>1</v>
      </c>
      <c r="G76" s="1" t="s">
        <v>31</v>
      </c>
      <c r="H76" s="1" t="s">
        <v>138</v>
      </c>
      <c r="J76" s="2" t="n">
        <v>43863</v>
      </c>
      <c r="O76" s="1" t="n">
        <v>1</v>
      </c>
      <c r="P76" s="13" t="n">
        <v>61</v>
      </c>
      <c r="Q76" s="13" t="n">
        <v>24.69135802</v>
      </c>
      <c r="R76" s="2" t="n">
        <v>43863</v>
      </c>
      <c r="S76" s="14" t="n">
        <v>7.6</v>
      </c>
      <c r="T76" s="14" t="n">
        <v>2.3</v>
      </c>
      <c r="U76" s="14" t="n">
        <v>0.6</v>
      </c>
      <c r="V76" s="14" t="n">
        <v>173</v>
      </c>
      <c r="W76" s="2" t="n">
        <v>43863</v>
      </c>
      <c r="X76" s="16" t="n">
        <v>1</v>
      </c>
      <c r="Y76" s="16" t="n">
        <v>30</v>
      </c>
      <c r="Z76" s="16" t="n">
        <v>35</v>
      </c>
      <c r="AA76" s="16" t="n">
        <v>175</v>
      </c>
      <c r="AB76" s="16" t="n">
        <v>22</v>
      </c>
      <c r="AC76" s="16" t="n">
        <v>5.3</v>
      </c>
      <c r="AD76" s="16" t="n">
        <v>114</v>
      </c>
      <c r="AE76" s="20" t="n">
        <v>5.61</v>
      </c>
    </row>
    <row r="77" customFormat="false" ht="13.5" hidden="false" customHeight="false" outlineLevel="0" collapsed="false">
      <c r="A77" s="1" t="s">
        <v>139</v>
      </c>
      <c r="B77" s="1" t="s">
        <v>31</v>
      </c>
      <c r="C77" s="1" t="s">
        <v>140</v>
      </c>
      <c r="D77" s="1" t="s">
        <v>33</v>
      </c>
      <c r="E77" s="1" t="n">
        <v>1</v>
      </c>
      <c r="G77" s="1" t="s">
        <v>31</v>
      </c>
      <c r="H77" s="1" t="s">
        <v>141</v>
      </c>
      <c r="J77" s="2" t="n">
        <v>43875</v>
      </c>
      <c r="O77" s="1" t="n">
        <v>1</v>
      </c>
      <c r="P77" s="13" t="n">
        <v>64</v>
      </c>
      <c r="Q77" s="13" t="n">
        <v>19.59183673</v>
      </c>
      <c r="R77" s="2" t="n">
        <v>43876</v>
      </c>
      <c r="S77" s="14" t="n">
        <v>5.5</v>
      </c>
      <c r="T77" s="14" t="n">
        <v>0.2</v>
      </c>
      <c r="U77" s="14" t="n">
        <v>0.1</v>
      </c>
      <c r="V77" s="14" t="n">
        <v>201</v>
      </c>
      <c r="W77" s="2" t="n">
        <v>43876</v>
      </c>
      <c r="X77" s="16" t="n">
        <v>299.7</v>
      </c>
      <c r="Y77" s="16" t="n">
        <v>98</v>
      </c>
      <c r="Z77" s="16" t="n">
        <v>211</v>
      </c>
      <c r="AA77" s="16" t="n">
        <v>29</v>
      </c>
      <c r="AB77" s="16" t="n">
        <v>20.8</v>
      </c>
      <c r="AC77" s="16" t="n">
        <v>11.3</v>
      </c>
      <c r="AD77" s="16" t="n">
        <v>170</v>
      </c>
      <c r="AE77" s="20" t="n">
        <v>5</v>
      </c>
    </row>
    <row r="78" customFormat="false" ht="13.5" hidden="false" customHeight="false" outlineLevel="0" collapsed="false">
      <c r="A78" s="1" t="s">
        <v>142</v>
      </c>
      <c r="B78" s="1" t="s">
        <v>31</v>
      </c>
      <c r="C78" s="1" t="s">
        <v>143</v>
      </c>
      <c r="D78" s="1" t="s">
        <v>33</v>
      </c>
      <c r="E78" s="1" t="n">
        <v>1</v>
      </c>
      <c r="G78" s="1" t="s">
        <v>31</v>
      </c>
      <c r="H78" s="1" t="s">
        <v>144</v>
      </c>
      <c r="J78" s="2" t="n">
        <v>43863</v>
      </c>
      <c r="O78" s="1" t="n">
        <v>0</v>
      </c>
      <c r="P78" s="13" t="n">
        <v>36</v>
      </c>
      <c r="Q78" s="13" t="n">
        <v>25.97011555</v>
      </c>
      <c r="R78" s="2" t="n">
        <v>43863</v>
      </c>
      <c r="S78" s="14" t="n">
        <v>3.3</v>
      </c>
      <c r="T78" s="14" t="n">
        <v>0.9</v>
      </c>
      <c r="U78" s="14" t="n">
        <v>0.3</v>
      </c>
      <c r="V78" s="14" t="n">
        <v>262</v>
      </c>
      <c r="W78" s="2" t="n">
        <v>43863</v>
      </c>
      <c r="X78" s="16" t="s">
        <v>33</v>
      </c>
      <c r="Y78" s="16" t="n">
        <v>7</v>
      </c>
      <c r="Z78" s="16" t="n">
        <v>21</v>
      </c>
      <c r="AA78" s="16" t="n">
        <v>50</v>
      </c>
      <c r="AB78" s="16" t="n">
        <v>3.8</v>
      </c>
      <c r="AC78" s="16" t="n">
        <v>2.4</v>
      </c>
      <c r="AD78" s="16" t="n">
        <v>45</v>
      </c>
      <c r="AE78" s="20" t="n">
        <v>5.29</v>
      </c>
    </row>
    <row r="79" customFormat="false" ht="13.5" hidden="false" customHeight="false" outlineLevel="0" collapsed="false">
      <c r="A79" s="1" t="s">
        <v>145</v>
      </c>
      <c r="B79" s="1" t="s">
        <v>31</v>
      </c>
      <c r="C79" s="1" t="s">
        <v>146</v>
      </c>
      <c r="D79" s="1" t="s">
        <v>33</v>
      </c>
      <c r="E79" s="1" t="n">
        <v>1</v>
      </c>
      <c r="G79" s="1" t="s">
        <v>31</v>
      </c>
      <c r="H79" s="1" t="s">
        <v>147</v>
      </c>
      <c r="J79" s="2" t="n">
        <v>43863</v>
      </c>
      <c r="O79" s="1" t="n">
        <v>0</v>
      </c>
      <c r="P79" s="13" t="n">
        <v>23</v>
      </c>
      <c r="Q79" s="13" t="n">
        <v>22.22222222</v>
      </c>
      <c r="R79" s="2" t="n">
        <v>43865</v>
      </c>
      <c r="S79" s="14" t="n">
        <v>9.6</v>
      </c>
      <c r="T79" s="14" t="n">
        <v>0.7</v>
      </c>
      <c r="U79" s="14" t="n">
        <v>0.5</v>
      </c>
      <c r="V79" s="14" t="n">
        <v>208</v>
      </c>
      <c r="W79" s="2" t="n">
        <v>43865</v>
      </c>
      <c r="X79" s="16" t="s">
        <v>33</v>
      </c>
      <c r="Y79" s="16" t="n">
        <v>8</v>
      </c>
      <c r="Z79" s="16" t="n">
        <v>23</v>
      </c>
      <c r="AA79" s="16" t="n">
        <v>9</v>
      </c>
      <c r="AB79" s="16" t="n">
        <v>13.7</v>
      </c>
      <c r="AC79" s="16" t="n">
        <v>4.4</v>
      </c>
      <c r="AD79" s="16" t="n">
        <v>62</v>
      </c>
      <c r="AE79" s="20" t="n">
        <v>5.43</v>
      </c>
    </row>
    <row r="80" customFormat="false" ht="13.5" hidden="false" customHeight="false" outlineLevel="0" collapsed="false">
      <c r="A80" s="1" t="s">
        <v>148</v>
      </c>
      <c r="B80" s="1" t="s">
        <v>31</v>
      </c>
      <c r="C80" s="1" t="s">
        <v>149</v>
      </c>
      <c r="D80" s="1" t="s">
        <v>33</v>
      </c>
      <c r="E80" s="1" t="n">
        <v>1</v>
      </c>
      <c r="G80" s="1" t="s">
        <v>31</v>
      </c>
      <c r="H80" s="1" t="s">
        <v>150</v>
      </c>
      <c r="J80" s="2" t="n">
        <v>43864</v>
      </c>
      <c r="O80" s="1" t="n">
        <v>0</v>
      </c>
      <c r="P80" s="13" t="n">
        <v>32</v>
      </c>
      <c r="Q80" s="13" t="n">
        <v>24.8357635</v>
      </c>
      <c r="R80" s="2" t="n">
        <v>43865</v>
      </c>
      <c r="S80" s="14" t="n">
        <v>5.8</v>
      </c>
      <c r="T80" s="14" t="n">
        <v>2.2</v>
      </c>
      <c r="U80" s="14" t="n">
        <v>0.3</v>
      </c>
      <c r="V80" s="14" t="n">
        <v>230</v>
      </c>
      <c r="W80" s="2" t="n">
        <v>43865</v>
      </c>
      <c r="X80" s="16" t="s">
        <v>151</v>
      </c>
      <c r="Y80" s="16" t="n">
        <v>10</v>
      </c>
      <c r="Z80" s="16" t="n">
        <v>21</v>
      </c>
      <c r="AA80" s="16" t="n">
        <v>15</v>
      </c>
      <c r="AB80" s="16" t="n">
        <v>13</v>
      </c>
      <c r="AC80" s="16" t="n">
        <v>3.4</v>
      </c>
      <c r="AD80" s="16" t="n">
        <v>47</v>
      </c>
      <c r="AE80" s="20" t="n">
        <v>4.62</v>
      </c>
    </row>
    <row r="81" customFormat="false" ht="13.5" hidden="false" customHeight="false" outlineLevel="0" collapsed="false">
      <c r="A81" s="1" t="s">
        <v>152</v>
      </c>
      <c r="B81" s="1" t="s">
        <v>31</v>
      </c>
      <c r="C81" s="1" t="s">
        <v>153</v>
      </c>
      <c r="D81" s="1" t="s">
        <v>33</v>
      </c>
      <c r="E81" s="1" t="n">
        <v>1</v>
      </c>
      <c r="G81" s="1" t="s">
        <v>31</v>
      </c>
      <c r="H81" s="1" t="s">
        <v>154</v>
      </c>
      <c r="J81" s="2" t="n">
        <v>43864</v>
      </c>
      <c r="O81" s="1" t="n">
        <v>0</v>
      </c>
      <c r="P81" s="13" t="n">
        <v>25</v>
      </c>
      <c r="Q81" s="13" t="n">
        <v>21.8299522</v>
      </c>
      <c r="R81" s="2" t="n">
        <v>43864</v>
      </c>
      <c r="S81" s="14" t="n">
        <v>8.5</v>
      </c>
      <c r="T81" s="14" t="n">
        <v>1.2</v>
      </c>
      <c r="U81" s="14" t="n">
        <v>0.7</v>
      </c>
      <c r="V81" s="14" t="n">
        <v>240</v>
      </c>
      <c r="W81" s="2" t="n">
        <v>43864</v>
      </c>
      <c r="X81" s="16" t="n">
        <v>153.3</v>
      </c>
      <c r="Y81" s="16" t="n">
        <v>42</v>
      </c>
      <c r="Z81" s="16" t="n">
        <v>46</v>
      </c>
      <c r="AA81" s="16" t="n">
        <v>41</v>
      </c>
      <c r="AB81" s="16" t="n">
        <v>10.5</v>
      </c>
      <c r="AC81" s="16" t="n">
        <v>3.2</v>
      </c>
      <c r="AD81" s="16" t="n">
        <v>56</v>
      </c>
      <c r="AE81" s="20" t="n">
        <v>6.47</v>
      </c>
    </row>
    <row r="82" customFormat="false" ht="13.5" hidden="false" customHeight="false" outlineLevel="0" collapsed="false">
      <c r="A82" s="1" t="s">
        <v>155</v>
      </c>
      <c r="B82" s="1" t="s">
        <v>31</v>
      </c>
      <c r="C82" s="1" t="s">
        <v>156</v>
      </c>
      <c r="D82" s="1" t="s">
        <v>33</v>
      </c>
      <c r="E82" s="1" t="n">
        <v>1</v>
      </c>
      <c r="G82" s="1" t="s">
        <v>31</v>
      </c>
      <c r="H82" s="1" t="s">
        <v>157</v>
      </c>
      <c r="J82" s="2" t="n">
        <v>43867</v>
      </c>
      <c r="O82" s="1" t="n">
        <v>1</v>
      </c>
      <c r="P82" s="13" t="n">
        <v>38</v>
      </c>
      <c r="Q82" s="13" t="n">
        <v>27.44059917</v>
      </c>
      <c r="R82" s="2" t="n">
        <v>43867</v>
      </c>
      <c r="S82" s="14" t="n">
        <v>4.3</v>
      </c>
      <c r="T82" s="14" t="n">
        <v>0.8</v>
      </c>
      <c r="U82" s="14" t="n">
        <v>0.4</v>
      </c>
      <c r="V82" s="14" t="n">
        <v>236</v>
      </c>
      <c r="W82" s="2" t="n">
        <v>43867</v>
      </c>
      <c r="X82" s="16" t="n">
        <v>4.7</v>
      </c>
      <c r="Y82" s="16" t="n">
        <v>78</v>
      </c>
      <c r="Z82" s="16" t="n">
        <v>41</v>
      </c>
      <c r="AA82" s="16" t="n">
        <v>85</v>
      </c>
      <c r="AB82" s="16" t="n">
        <v>9.2</v>
      </c>
      <c r="AC82" s="16" t="n">
        <v>2.6</v>
      </c>
      <c r="AD82" s="16" t="n">
        <v>80</v>
      </c>
      <c r="AE82" s="20" t="n">
        <v>6.31</v>
      </c>
    </row>
    <row r="83" customFormat="false" ht="13.5" hidden="false" customHeight="false" outlineLevel="0" collapsed="false">
      <c r="A83" s="1" t="s">
        <v>158</v>
      </c>
      <c r="B83" s="1" t="s">
        <v>31</v>
      </c>
      <c r="C83" s="1" t="s">
        <v>159</v>
      </c>
      <c r="D83" s="1" t="s">
        <v>33</v>
      </c>
      <c r="E83" s="1" t="n">
        <v>1</v>
      </c>
      <c r="G83" s="1" t="s">
        <v>31</v>
      </c>
      <c r="H83" s="1" t="s">
        <v>160</v>
      </c>
      <c r="J83" s="2" t="n">
        <v>43864</v>
      </c>
      <c r="O83" s="1" t="n">
        <v>0</v>
      </c>
      <c r="P83" s="13" t="n">
        <v>67</v>
      </c>
      <c r="Q83" s="13" t="n">
        <v>25.15315023</v>
      </c>
      <c r="R83" s="2" t="n">
        <v>43865</v>
      </c>
      <c r="S83" s="14" t="n">
        <v>8.6</v>
      </c>
      <c r="T83" s="14" t="n">
        <v>0.7</v>
      </c>
      <c r="U83" s="14" t="n">
        <v>0.3</v>
      </c>
      <c r="V83" s="14" t="n">
        <v>216</v>
      </c>
      <c r="W83" s="2" t="n">
        <v>43865</v>
      </c>
      <c r="X83" s="16" t="n">
        <v>230.7</v>
      </c>
      <c r="Y83" s="16" t="n">
        <v>9</v>
      </c>
      <c r="Z83" s="16" t="n">
        <v>19</v>
      </c>
      <c r="AA83" s="16" t="n">
        <v>13</v>
      </c>
      <c r="AB83" s="16" t="n">
        <v>15.4</v>
      </c>
      <c r="AC83" s="16" t="n">
        <v>6.3</v>
      </c>
      <c r="AD83" s="16" t="n">
        <v>74</v>
      </c>
      <c r="AE83" s="20" t="n">
        <v>4.48</v>
      </c>
    </row>
    <row r="84" customFormat="false" ht="13.5" hidden="false" customHeight="false" outlineLevel="0" collapsed="false">
      <c r="A84" s="1" t="s">
        <v>161</v>
      </c>
      <c r="B84" s="1" t="s">
        <v>31</v>
      </c>
      <c r="C84" s="1" t="s">
        <v>162</v>
      </c>
      <c r="D84" s="1" t="s">
        <v>33</v>
      </c>
      <c r="E84" s="1" t="n">
        <v>1</v>
      </c>
      <c r="G84" s="1" t="s">
        <v>31</v>
      </c>
      <c r="H84" s="1" t="s">
        <v>163</v>
      </c>
      <c r="J84" s="2" t="n">
        <v>43868</v>
      </c>
      <c r="O84" s="1" t="n">
        <v>1</v>
      </c>
      <c r="P84" s="13" t="n">
        <v>35</v>
      </c>
      <c r="Q84" s="13" t="s">
        <v>33</v>
      </c>
      <c r="R84" s="2" t="n">
        <v>43869</v>
      </c>
      <c r="S84" s="14" t="n">
        <v>24.2</v>
      </c>
      <c r="T84" s="14" t="n">
        <v>0.5</v>
      </c>
      <c r="U84" s="14" t="n">
        <v>0.6</v>
      </c>
      <c r="V84" s="14" t="n">
        <v>275</v>
      </c>
      <c r="W84" s="2" t="n">
        <v>43869</v>
      </c>
      <c r="X84" s="16" t="n">
        <v>45.7</v>
      </c>
      <c r="Y84" s="16" t="n">
        <v>24</v>
      </c>
      <c r="Z84" s="16" t="n">
        <v>42</v>
      </c>
      <c r="AA84" s="16" t="n">
        <v>22</v>
      </c>
      <c r="AB84" s="16" t="n">
        <v>18.3</v>
      </c>
      <c r="AC84" s="16" t="n">
        <v>5.9</v>
      </c>
      <c r="AD84" s="16" t="n">
        <v>67</v>
      </c>
      <c r="AE84" s="20" t="n">
        <v>4.83</v>
      </c>
    </row>
    <row r="85" customFormat="false" ht="13.5" hidden="false" customHeight="false" outlineLevel="0" collapsed="false">
      <c r="A85" s="1" t="s">
        <v>164</v>
      </c>
      <c r="B85" s="1" t="s">
        <v>31</v>
      </c>
      <c r="C85" s="1" t="s">
        <v>165</v>
      </c>
      <c r="D85" s="1" t="s">
        <v>33</v>
      </c>
      <c r="E85" s="1" t="n">
        <v>1</v>
      </c>
      <c r="G85" s="1" t="s">
        <v>31</v>
      </c>
      <c r="H85" s="1" t="s">
        <v>166</v>
      </c>
      <c r="J85" s="2" t="n">
        <v>43866</v>
      </c>
      <c r="O85" s="1" t="n">
        <v>1</v>
      </c>
      <c r="P85" s="13" t="n">
        <v>47</v>
      </c>
      <c r="Q85" s="13" t="s">
        <v>33</v>
      </c>
      <c r="R85" s="2" t="n">
        <v>43867</v>
      </c>
      <c r="S85" s="14" t="n">
        <v>13.5</v>
      </c>
      <c r="T85" s="14" t="n">
        <v>1.5</v>
      </c>
      <c r="U85" s="14" t="n">
        <v>0.7</v>
      </c>
      <c r="V85" s="14" t="n">
        <v>214</v>
      </c>
      <c r="W85" s="2" t="n">
        <v>43867</v>
      </c>
      <c r="X85" s="16" t="n">
        <v>1.7</v>
      </c>
      <c r="Y85" s="16" t="n">
        <v>15</v>
      </c>
      <c r="Z85" s="16" t="n">
        <v>16</v>
      </c>
      <c r="AA85" s="16" t="n">
        <v>35</v>
      </c>
      <c r="AB85" s="16" t="n">
        <v>15.6</v>
      </c>
      <c r="AC85" s="16" t="n">
        <v>4.1</v>
      </c>
      <c r="AD85" s="16" t="n">
        <v>68</v>
      </c>
      <c r="AE85" s="20" t="n">
        <v>5.02</v>
      </c>
    </row>
    <row r="86" customFormat="false" ht="13.5" hidden="false" customHeight="false" outlineLevel="0" collapsed="false">
      <c r="A86" s="1" t="s">
        <v>167</v>
      </c>
      <c r="B86" s="1" t="s">
        <v>31</v>
      </c>
      <c r="C86" s="1" t="s">
        <v>168</v>
      </c>
      <c r="D86" s="1" t="s">
        <v>33</v>
      </c>
      <c r="E86" s="1" t="n">
        <v>1</v>
      </c>
      <c r="G86" s="1" t="s">
        <v>31</v>
      </c>
      <c r="H86" s="1" t="s">
        <v>169</v>
      </c>
      <c r="J86" s="2" t="n">
        <v>43866</v>
      </c>
      <c r="O86" s="1" t="n">
        <v>0</v>
      </c>
      <c r="P86" s="13" t="n">
        <v>41</v>
      </c>
      <c r="Q86" s="13" t="s">
        <v>33</v>
      </c>
      <c r="R86" s="2" t="n">
        <v>43867</v>
      </c>
      <c r="S86" s="14" t="n">
        <v>9.5</v>
      </c>
      <c r="T86" s="14" t="n">
        <v>0.3</v>
      </c>
      <c r="U86" s="14" t="n">
        <v>0.2</v>
      </c>
      <c r="V86" s="14" t="n">
        <v>214</v>
      </c>
      <c r="W86" s="2" t="n">
        <v>43867</v>
      </c>
      <c r="X86" s="16" t="n">
        <v>8.3</v>
      </c>
      <c r="Y86" s="16" t="n">
        <v>29</v>
      </c>
      <c r="Z86" s="16" t="n">
        <v>23</v>
      </c>
      <c r="AA86" s="16" t="n">
        <v>34</v>
      </c>
      <c r="AB86" s="16" t="n">
        <v>7.5</v>
      </c>
      <c r="AC86" s="16" t="n">
        <v>2.6</v>
      </c>
      <c r="AD86" s="16" t="n">
        <v>39</v>
      </c>
      <c r="AE86" s="20" t="n">
        <v>5.44</v>
      </c>
    </row>
    <row r="87" customFormat="false" ht="13.5" hidden="false" customHeight="false" outlineLevel="0" collapsed="false">
      <c r="A87" s="1" t="s">
        <v>170</v>
      </c>
      <c r="B87" s="1" t="s">
        <v>31</v>
      </c>
      <c r="C87" s="1" t="s">
        <v>171</v>
      </c>
      <c r="D87" s="1" t="s">
        <v>33</v>
      </c>
      <c r="E87" s="1" t="n">
        <v>1</v>
      </c>
      <c r="G87" s="1" t="s">
        <v>31</v>
      </c>
      <c r="H87" s="1" t="s">
        <v>172</v>
      </c>
      <c r="J87" s="2" t="n">
        <v>43866</v>
      </c>
      <c r="O87" s="1" t="n">
        <v>1</v>
      </c>
      <c r="P87" s="13" t="n">
        <v>61</v>
      </c>
      <c r="Q87" s="13" t="n">
        <v>24.69135802</v>
      </c>
      <c r="R87" s="2" t="n">
        <v>43867</v>
      </c>
      <c r="S87" s="14" t="n">
        <v>11</v>
      </c>
      <c r="T87" s="14" t="n">
        <v>1.3</v>
      </c>
      <c r="U87" s="14" t="n">
        <v>0.7</v>
      </c>
      <c r="V87" s="14" t="n">
        <v>166</v>
      </c>
      <c r="W87" s="2" t="n">
        <v>43867</v>
      </c>
      <c r="X87" s="16" t="n">
        <v>84.9</v>
      </c>
      <c r="Y87" s="16" t="n">
        <v>15</v>
      </c>
      <c r="Z87" s="16" t="n">
        <v>18</v>
      </c>
      <c r="AA87" s="16" t="n">
        <v>35</v>
      </c>
      <c r="AB87" s="16" t="n">
        <v>14.1</v>
      </c>
      <c r="AC87" s="16" t="n">
        <v>5.1</v>
      </c>
      <c r="AD87" s="16" t="n">
        <v>125</v>
      </c>
      <c r="AE87" s="20" t="n">
        <v>5.83</v>
      </c>
    </row>
    <row r="88" customFormat="false" ht="13.5" hidden="false" customHeight="false" outlineLevel="0" collapsed="false">
      <c r="A88" s="1" t="s">
        <v>173</v>
      </c>
      <c r="B88" s="1" t="s">
        <v>31</v>
      </c>
      <c r="C88" s="1" t="s">
        <v>174</v>
      </c>
      <c r="D88" s="1" t="s">
        <v>175</v>
      </c>
      <c r="E88" s="1" t="n">
        <v>1</v>
      </c>
      <c r="G88" s="1" t="s">
        <v>31</v>
      </c>
      <c r="H88" s="1" t="s">
        <v>176</v>
      </c>
      <c r="J88" s="2" t="n">
        <v>43865</v>
      </c>
      <c r="O88" s="1" t="n">
        <v>1</v>
      </c>
      <c r="P88" s="13" t="n">
        <v>67</v>
      </c>
      <c r="Q88" s="13" t="n">
        <v>21.87242282</v>
      </c>
      <c r="R88" s="2" t="n">
        <v>43865</v>
      </c>
      <c r="S88" s="14" t="n">
        <v>7.9</v>
      </c>
      <c r="T88" s="14" t="n">
        <v>4.1</v>
      </c>
      <c r="U88" s="14" t="n">
        <v>0.5</v>
      </c>
      <c r="V88" s="14" t="n">
        <v>137</v>
      </c>
      <c r="W88" s="2" t="n">
        <v>43867</v>
      </c>
      <c r="X88" s="16" t="n">
        <v>73.6</v>
      </c>
      <c r="Y88" s="16" t="n">
        <v>12</v>
      </c>
      <c r="Z88" s="16" t="n">
        <v>10</v>
      </c>
      <c r="AA88" s="16" t="n">
        <v>46</v>
      </c>
      <c r="AB88" s="16" t="n">
        <v>16.4</v>
      </c>
      <c r="AC88" s="16" t="n">
        <v>10</v>
      </c>
      <c r="AD88" s="16" t="n">
        <v>109</v>
      </c>
      <c r="AE88" s="20" t="n">
        <v>6.51</v>
      </c>
    </row>
    <row r="89" customFormat="false" ht="13.5" hidden="false" customHeight="false" outlineLevel="0" collapsed="false">
      <c r="A89" s="1" t="s">
        <v>177</v>
      </c>
      <c r="B89" s="1" t="s">
        <v>54</v>
      </c>
      <c r="C89" s="1" t="s">
        <v>33</v>
      </c>
      <c r="D89" s="1" t="s">
        <v>33</v>
      </c>
      <c r="E89" s="1" t="n">
        <v>1</v>
      </c>
      <c r="G89" s="1" t="s">
        <v>31</v>
      </c>
      <c r="H89" s="1" t="s">
        <v>178</v>
      </c>
      <c r="J89" s="2" t="n">
        <v>43861</v>
      </c>
      <c r="O89" s="1" t="n">
        <v>1</v>
      </c>
      <c r="P89" s="13" t="n">
        <v>48</v>
      </c>
      <c r="Q89" s="13" t="n">
        <v>24.72518293</v>
      </c>
      <c r="R89" s="2" t="n">
        <v>43861</v>
      </c>
      <c r="S89" s="14" t="n">
        <v>5.5</v>
      </c>
      <c r="T89" s="14" t="n">
        <v>1.4</v>
      </c>
      <c r="U89" s="14" t="n">
        <v>0.5</v>
      </c>
      <c r="V89" s="14" t="n">
        <v>189</v>
      </c>
      <c r="W89" s="2" t="n">
        <v>43862</v>
      </c>
      <c r="X89" s="16" t="n">
        <v>9.3</v>
      </c>
      <c r="Y89" s="16" t="n">
        <v>27</v>
      </c>
      <c r="Z89" s="16" t="n">
        <v>24</v>
      </c>
      <c r="AA89" s="16" t="n">
        <v>41</v>
      </c>
      <c r="AB89" s="16" t="n">
        <v>11.8</v>
      </c>
      <c r="AC89" s="16" t="n">
        <v>4.5</v>
      </c>
      <c r="AD89" s="16" t="n">
        <v>84</v>
      </c>
      <c r="AE89" s="20" t="n">
        <v>10.53</v>
      </c>
    </row>
    <row r="90" customFormat="false" ht="13.5" hidden="false" customHeight="false" outlineLevel="0" collapsed="false">
      <c r="A90" s="1" t="s">
        <v>179</v>
      </c>
      <c r="B90" s="1" t="s">
        <v>31</v>
      </c>
      <c r="C90" s="1" t="s">
        <v>180</v>
      </c>
      <c r="D90" s="1" t="s">
        <v>33</v>
      </c>
      <c r="E90" s="1" t="n">
        <v>1</v>
      </c>
      <c r="G90" s="1" t="s">
        <v>31</v>
      </c>
      <c r="H90" s="1" t="s">
        <v>181</v>
      </c>
      <c r="J90" s="2" t="n">
        <v>43872</v>
      </c>
      <c r="O90" s="1" t="n">
        <v>1</v>
      </c>
      <c r="P90" s="13" t="n">
        <v>45</v>
      </c>
      <c r="Q90" s="13" t="n">
        <v>20.0617284</v>
      </c>
      <c r="R90" s="2" t="n">
        <v>43872</v>
      </c>
      <c r="S90" s="14" t="n">
        <v>6.3</v>
      </c>
      <c r="T90" s="14" t="n">
        <v>1.1</v>
      </c>
      <c r="U90" s="14" t="n">
        <v>0.7</v>
      </c>
      <c r="V90" s="14" t="n">
        <v>210</v>
      </c>
      <c r="W90" s="2" t="n">
        <v>43873</v>
      </c>
      <c r="X90" s="16" t="n">
        <v>16.9</v>
      </c>
      <c r="Y90" s="16" t="n">
        <v>55</v>
      </c>
      <c r="Z90" s="16" t="n">
        <v>32</v>
      </c>
      <c r="AA90" s="16" t="n">
        <v>55</v>
      </c>
      <c r="AB90" s="16" t="n">
        <v>19.1</v>
      </c>
      <c r="AC90" s="16" t="n">
        <v>5.9</v>
      </c>
      <c r="AD90" s="16" t="n">
        <v>92</v>
      </c>
      <c r="AE90" s="20" t="n">
        <v>5.08</v>
      </c>
    </row>
    <row r="91" customFormat="false" ht="13.5" hidden="false" customHeight="false" outlineLevel="0" collapsed="false">
      <c r="A91" s="1" t="s">
        <v>182</v>
      </c>
      <c r="B91" s="1" t="s">
        <v>31</v>
      </c>
      <c r="C91" s="1" t="s">
        <v>183</v>
      </c>
      <c r="D91" s="1" t="s">
        <v>33</v>
      </c>
      <c r="E91" s="1" t="n">
        <v>1</v>
      </c>
      <c r="G91" s="1" t="s">
        <v>31</v>
      </c>
      <c r="H91" s="1" t="s">
        <v>184</v>
      </c>
      <c r="J91" s="2" t="n">
        <v>43871</v>
      </c>
      <c r="O91" s="1" t="n">
        <v>0</v>
      </c>
      <c r="P91" s="13" t="n">
        <v>24</v>
      </c>
      <c r="Q91" s="13" t="n">
        <v>19.140625</v>
      </c>
      <c r="R91" s="2" t="n">
        <v>43871</v>
      </c>
      <c r="S91" s="14" t="n">
        <v>7.5</v>
      </c>
      <c r="T91" s="14" t="n">
        <v>1.7</v>
      </c>
      <c r="U91" s="14" t="n">
        <v>0.9</v>
      </c>
      <c r="V91" s="14" t="n">
        <v>178</v>
      </c>
      <c r="W91" s="2" t="n">
        <v>43872</v>
      </c>
      <c r="X91" s="16" t="n">
        <v>15</v>
      </c>
      <c r="Y91" s="16" t="n">
        <v>9</v>
      </c>
      <c r="Z91" s="16" t="n">
        <v>17</v>
      </c>
      <c r="AA91" s="16" t="n">
        <v>16</v>
      </c>
      <c r="AB91" s="16" t="n">
        <v>8.8</v>
      </c>
      <c r="AC91" s="16" t="n">
        <v>3.1</v>
      </c>
      <c r="AD91" s="16" t="n">
        <v>57</v>
      </c>
      <c r="AE91" s="20" t="n">
        <v>6.11</v>
      </c>
    </row>
    <row r="92" customFormat="false" ht="13.5" hidden="false" customHeight="false" outlineLevel="0" collapsed="false">
      <c r="A92" s="1" t="s">
        <v>30</v>
      </c>
      <c r="B92" s="1" t="s">
        <v>31</v>
      </c>
      <c r="C92" s="1" t="s">
        <v>32</v>
      </c>
      <c r="D92" s="1" t="s">
        <v>33</v>
      </c>
      <c r="E92" s="1" t="n">
        <v>0</v>
      </c>
      <c r="G92" s="1" t="s">
        <v>31</v>
      </c>
      <c r="H92" s="1" t="s">
        <v>34</v>
      </c>
      <c r="O92" s="1" t="n">
        <v>1</v>
      </c>
      <c r="P92" s="13" t="n">
        <v>50</v>
      </c>
      <c r="Q92" s="13" t="n">
        <v>24.22145329</v>
      </c>
      <c r="R92" s="2"/>
      <c r="U92" s="14"/>
      <c r="V92" s="13"/>
      <c r="W92" s="2"/>
      <c r="X92" s="16"/>
      <c r="Y92" s="16"/>
      <c r="Z92" s="16"/>
      <c r="AC92" s="16"/>
      <c r="AD92" s="16"/>
    </row>
    <row r="93" customFormat="false" ht="13.5" hidden="false" customHeight="false" outlineLevel="0" collapsed="false">
      <c r="A93" s="1" t="s">
        <v>35</v>
      </c>
      <c r="B93" s="1" t="s">
        <v>31</v>
      </c>
      <c r="C93" s="1" t="s">
        <v>36</v>
      </c>
      <c r="D93" s="1" t="s">
        <v>33</v>
      </c>
      <c r="E93" s="1" t="n">
        <v>0</v>
      </c>
      <c r="G93" s="1" t="s">
        <v>31</v>
      </c>
      <c r="H93" s="1" t="s">
        <v>37</v>
      </c>
      <c r="O93" s="1" t="n">
        <v>1</v>
      </c>
      <c r="P93" s="13" t="n">
        <v>47</v>
      </c>
      <c r="Q93" s="13" t="n">
        <v>20.76124567</v>
      </c>
      <c r="R93" s="1"/>
      <c r="U93" s="14"/>
      <c r="V93" s="13"/>
      <c r="W93" s="2"/>
      <c r="X93" s="16"/>
      <c r="AA93" s="13"/>
      <c r="AC93" s="16"/>
    </row>
    <row r="94" customFormat="false" ht="13.5" hidden="false" customHeight="false" outlineLevel="0" collapsed="false">
      <c r="A94" s="1" t="s">
        <v>38</v>
      </c>
      <c r="B94" s="1" t="s">
        <v>31</v>
      </c>
      <c r="C94" s="1" t="s">
        <v>39</v>
      </c>
      <c r="D94" s="1" t="s">
        <v>33</v>
      </c>
      <c r="E94" s="1" t="n">
        <v>0</v>
      </c>
      <c r="G94" s="1" t="s">
        <v>31</v>
      </c>
      <c r="H94" s="1" t="s">
        <v>40</v>
      </c>
      <c r="O94" s="1" t="n">
        <v>1</v>
      </c>
      <c r="P94" s="13" t="n">
        <v>51</v>
      </c>
      <c r="Q94" s="13" t="n">
        <v>24.22145329</v>
      </c>
      <c r="R94" s="1"/>
      <c r="U94" s="14"/>
      <c r="V94" s="13"/>
      <c r="W94" s="2"/>
      <c r="X94" s="16"/>
      <c r="AA94" s="13"/>
      <c r="AC94" s="16"/>
    </row>
    <row r="95" customFormat="false" ht="13.5" hidden="false" customHeight="false" outlineLevel="0" collapsed="false">
      <c r="A95" s="1" t="s">
        <v>41</v>
      </c>
      <c r="B95" s="1" t="s">
        <v>31</v>
      </c>
      <c r="C95" s="1" t="s">
        <v>42</v>
      </c>
      <c r="D95" s="1" t="s">
        <v>33</v>
      </c>
      <c r="E95" s="1" t="n">
        <v>0</v>
      </c>
      <c r="G95" s="1" t="s">
        <v>31</v>
      </c>
      <c r="H95" s="1" t="s">
        <v>43</v>
      </c>
      <c r="O95" s="1" t="n">
        <v>1</v>
      </c>
      <c r="P95" s="13" t="n">
        <v>54</v>
      </c>
      <c r="Q95" s="13" t="n">
        <v>26.64359862</v>
      </c>
      <c r="R95" s="1"/>
      <c r="U95" s="14"/>
      <c r="V95" s="13"/>
      <c r="W95" s="2"/>
      <c r="X95" s="16"/>
      <c r="AA95" s="13"/>
      <c r="AC95" s="16"/>
    </row>
    <row r="96" customFormat="false" ht="13.5" hidden="false" customHeight="false" outlineLevel="0" collapsed="false">
      <c r="A96" s="1" t="s">
        <v>44</v>
      </c>
      <c r="B96" s="1" t="s">
        <v>31</v>
      </c>
      <c r="C96" s="1" t="s">
        <v>45</v>
      </c>
      <c r="D96" s="1" t="s">
        <v>33</v>
      </c>
      <c r="E96" s="1" t="n">
        <v>0</v>
      </c>
      <c r="G96" s="1" t="s">
        <v>31</v>
      </c>
      <c r="H96" s="1" t="s">
        <v>46</v>
      </c>
      <c r="O96" s="1" t="n">
        <v>1</v>
      </c>
      <c r="P96" s="13" t="n">
        <v>37</v>
      </c>
      <c r="Q96" s="13" t="n">
        <v>24.22145329</v>
      </c>
      <c r="R96" s="1"/>
      <c r="U96" s="14"/>
      <c r="V96" s="13"/>
      <c r="W96" s="2"/>
      <c r="X96" s="16"/>
      <c r="AA96" s="13"/>
      <c r="AC96" s="16"/>
    </row>
    <row r="97" customFormat="false" ht="13.5" hidden="false" customHeight="false" outlineLevel="0" collapsed="false">
      <c r="A97" s="1" t="s">
        <v>47</v>
      </c>
      <c r="B97" s="1" t="s">
        <v>31</v>
      </c>
      <c r="C97" s="1" t="s">
        <v>48</v>
      </c>
      <c r="D97" s="1" t="s">
        <v>33</v>
      </c>
      <c r="E97" s="1" t="n">
        <v>0</v>
      </c>
      <c r="G97" s="1" t="s">
        <v>31</v>
      </c>
      <c r="H97" s="1" t="s">
        <v>49</v>
      </c>
      <c r="O97" s="1" t="n">
        <v>0</v>
      </c>
      <c r="P97" s="13" t="n">
        <v>44</v>
      </c>
      <c r="Q97" s="13" t="n">
        <v>23.4375</v>
      </c>
      <c r="R97" s="1"/>
      <c r="U97" s="14"/>
      <c r="V97" s="13"/>
      <c r="W97" s="2"/>
      <c r="X97" s="16"/>
      <c r="AA97" s="13"/>
      <c r="AC97" s="16"/>
    </row>
    <row r="98" customFormat="false" ht="13.5" hidden="false" customHeight="false" outlineLevel="0" collapsed="false">
      <c r="A98" s="1" t="s">
        <v>50</v>
      </c>
      <c r="B98" s="1" t="s">
        <v>31</v>
      </c>
      <c r="C98" s="1" t="s">
        <v>51</v>
      </c>
      <c r="D98" s="1" t="s">
        <v>33</v>
      </c>
      <c r="E98" s="1" t="n">
        <v>0</v>
      </c>
      <c r="G98" s="1" t="s">
        <v>31</v>
      </c>
      <c r="H98" s="1" t="s">
        <v>52</v>
      </c>
      <c r="O98" s="1" t="n">
        <v>1</v>
      </c>
      <c r="P98" s="13" t="n">
        <v>30</v>
      </c>
      <c r="Q98" s="13" t="n">
        <v>25.95155709</v>
      </c>
      <c r="R98" s="1"/>
      <c r="U98" s="14"/>
      <c r="V98" s="13"/>
      <c r="W98" s="2"/>
      <c r="X98" s="16"/>
      <c r="AA98" s="13"/>
      <c r="AC98" s="16"/>
    </row>
    <row r="99" customFormat="false" ht="13.5" hidden="false" customHeight="false" outlineLevel="0" collapsed="false">
      <c r="A99" s="1" t="s">
        <v>53</v>
      </c>
      <c r="B99" s="1" t="s">
        <v>54</v>
      </c>
      <c r="C99" s="1" t="s">
        <v>33</v>
      </c>
      <c r="D99" s="1" t="s">
        <v>33</v>
      </c>
      <c r="E99" s="1" t="n">
        <v>0</v>
      </c>
      <c r="G99" s="1" t="s">
        <v>31</v>
      </c>
      <c r="H99" s="1" t="s">
        <v>55</v>
      </c>
      <c r="O99" s="1" t="n">
        <v>1</v>
      </c>
      <c r="P99" s="13" t="n">
        <v>29</v>
      </c>
      <c r="Q99" s="13" t="n">
        <v>26.64359862</v>
      </c>
      <c r="R99" s="1"/>
      <c r="U99" s="14"/>
      <c r="V99" s="13"/>
      <c r="W99" s="2"/>
      <c r="X99" s="16"/>
      <c r="AA99" s="13"/>
      <c r="AC99" s="16"/>
    </row>
    <row r="100" customFormat="false" ht="13.5" hidden="false" customHeight="false" outlineLevel="0" collapsed="false">
      <c r="A100" s="1" t="s">
        <v>56</v>
      </c>
      <c r="B100" s="1" t="s">
        <v>31</v>
      </c>
      <c r="C100" s="1" t="s">
        <v>57</v>
      </c>
      <c r="D100" s="1" t="s">
        <v>33</v>
      </c>
      <c r="E100" s="1" t="n">
        <v>0</v>
      </c>
      <c r="G100" s="1" t="s">
        <v>31</v>
      </c>
      <c r="H100" s="1" t="s">
        <v>58</v>
      </c>
      <c r="O100" s="1" t="n">
        <v>0</v>
      </c>
      <c r="P100" s="13" t="n">
        <v>53</v>
      </c>
      <c r="Q100" s="13" t="n">
        <v>23.046875</v>
      </c>
      <c r="R100" s="1"/>
      <c r="U100" s="14"/>
      <c r="V100" s="13"/>
      <c r="W100" s="2"/>
      <c r="X100" s="16"/>
      <c r="AA100" s="13"/>
      <c r="AC100" s="16"/>
    </row>
    <row r="101" customFormat="false" ht="13.5" hidden="false" customHeight="false" outlineLevel="0" collapsed="false">
      <c r="A101" s="1" t="s">
        <v>59</v>
      </c>
      <c r="B101" s="1" t="s">
        <v>31</v>
      </c>
      <c r="C101" s="1" t="s">
        <v>60</v>
      </c>
      <c r="D101" s="1" t="s">
        <v>33</v>
      </c>
      <c r="E101" s="1" t="n">
        <v>0</v>
      </c>
      <c r="G101" s="1" t="s">
        <v>31</v>
      </c>
      <c r="H101" s="1" t="s">
        <v>61</v>
      </c>
      <c r="O101" s="1" t="n">
        <v>1</v>
      </c>
      <c r="P101" s="13" t="n">
        <v>57</v>
      </c>
      <c r="Q101" s="13" t="n">
        <v>26.98961938</v>
      </c>
      <c r="R101" s="1"/>
      <c r="U101" s="14"/>
      <c r="V101" s="13"/>
      <c r="W101" s="2"/>
      <c r="X101" s="16"/>
      <c r="AA101" s="13"/>
      <c r="AC101" s="16"/>
    </row>
    <row r="102" customFormat="false" ht="13.5" hidden="false" customHeight="false" outlineLevel="0" collapsed="false">
      <c r="A102" s="1" t="s">
        <v>62</v>
      </c>
      <c r="B102" s="1" t="s">
        <v>54</v>
      </c>
      <c r="C102" s="1" t="s">
        <v>33</v>
      </c>
      <c r="D102" s="1" t="s">
        <v>33</v>
      </c>
      <c r="E102" s="1" t="n">
        <v>0</v>
      </c>
      <c r="G102" s="1" t="s">
        <v>31</v>
      </c>
      <c r="H102" s="1" t="s">
        <v>63</v>
      </c>
      <c r="O102" s="1" t="n">
        <v>1</v>
      </c>
      <c r="P102" s="13" t="n">
        <v>41</v>
      </c>
      <c r="Q102" s="13" t="n">
        <v>25.95155709</v>
      </c>
      <c r="R102" s="1"/>
      <c r="U102" s="14"/>
      <c r="V102" s="13"/>
      <c r="W102" s="2"/>
      <c r="X102" s="16"/>
      <c r="AA102" s="13"/>
      <c r="AC102" s="16"/>
    </row>
    <row r="103" customFormat="false" ht="13.5" hidden="false" customHeight="false" outlineLevel="0" collapsed="false">
      <c r="A103" s="1" t="s">
        <v>64</v>
      </c>
      <c r="B103" s="1" t="s">
        <v>31</v>
      </c>
      <c r="C103" s="1" t="s">
        <v>65</v>
      </c>
      <c r="D103" s="1" t="s">
        <v>33</v>
      </c>
      <c r="E103" s="1" t="n">
        <v>0</v>
      </c>
      <c r="G103" s="1" t="s">
        <v>31</v>
      </c>
      <c r="H103" s="1" t="s">
        <v>66</v>
      </c>
      <c r="O103" s="1" t="n">
        <v>1</v>
      </c>
      <c r="P103" s="13" t="n">
        <v>49</v>
      </c>
      <c r="Q103" s="13" t="n">
        <v>25.60553633</v>
      </c>
      <c r="R103" s="1"/>
      <c r="U103" s="14"/>
      <c r="V103" s="13"/>
      <c r="W103" s="2"/>
      <c r="X103" s="16"/>
      <c r="AA103" s="13"/>
      <c r="AC103" s="16"/>
    </row>
    <row r="104" customFormat="false" ht="13.5" hidden="false" customHeight="false" outlineLevel="0" collapsed="false">
      <c r="A104" s="1" t="s">
        <v>67</v>
      </c>
      <c r="B104" s="1" t="s">
        <v>31</v>
      </c>
      <c r="C104" s="1" t="s">
        <v>68</v>
      </c>
      <c r="D104" s="1" t="s">
        <v>33</v>
      </c>
      <c r="E104" s="1" t="n">
        <v>0</v>
      </c>
      <c r="G104" s="1" t="s">
        <v>31</v>
      </c>
      <c r="H104" s="1" t="s">
        <v>69</v>
      </c>
      <c r="O104" s="1" t="n">
        <v>1</v>
      </c>
      <c r="P104" s="13" t="n">
        <v>46</v>
      </c>
      <c r="Q104" s="13" t="n">
        <v>24.56747405</v>
      </c>
      <c r="R104" s="1"/>
      <c r="U104" s="14"/>
      <c r="V104" s="13"/>
      <c r="W104" s="2"/>
      <c r="X104" s="16"/>
      <c r="AA104" s="13"/>
      <c r="AC104" s="16"/>
    </row>
    <row r="105" customFormat="false" ht="13.5" hidden="false" customHeight="false" outlineLevel="0" collapsed="false">
      <c r="A105" s="1" t="s">
        <v>70</v>
      </c>
      <c r="B105" s="1" t="s">
        <v>54</v>
      </c>
      <c r="C105" s="1" t="s">
        <v>33</v>
      </c>
      <c r="D105" s="1" t="s">
        <v>33</v>
      </c>
      <c r="E105" s="1" t="n">
        <v>0</v>
      </c>
      <c r="G105" s="1" t="s">
        <v>31</v>
      </c>
      <c r="H105" s="1" t="s">
        <v>71</v>
      </c>
      <c r="O105" s="1" t="n">
        <v>1</v>
      </c>
      <c r="P105" s="13" t="n">
        <v>34</v>
      </c>
      <c r="Q105" s="13" t="n">
        <v>23.52941176</v>
      </c>
      <c r="R105" s="1"/>
      <c r="U105" s="14"/>
      <c r="V105" s="13"/>
      <c r="W105" s="2"/>
      <c r="X105" s="16"/>
      <c r="AA105" s="13"/>
      <c r="AC105" s="16"/>
    </row>
    <row r="106" customFormat="false" ht="13.5" hidden="false" customHeight="false" outlineLevel="0" collapsed="false">
      <c r="A106" s="1" t="s">
        <v>72</v>
      </c>
      <c r="B106" s="1" t="s">
        <v>54</v>
      </c>
      <c r="C106" s="1" t="s">
        <v>33</v>
      </c>
      <c r="D106" s="1" t="s">
        <v>33</v>
      </c>
      <c r="E106" s="1" t="n">
        <v>0</v>
      </c>
      <c r="G106" s="1" t="s">
        <v>31</v>
      </c>
      <c r="H106" s="1" t="s">
        <v>73</v>
      </c>
      <c r="O106" s="1" t="n">
        <v>1</v>
      </c>
      <c r="P106" s="13" t="n">
        <v>41</v>
      </c>
      <c r="Q106" s="13" t="n">
        <v>24.22145329</v>
      </c>
      <c r="R106" s="1"/>
      <c r="U106" s="14"/>
      <c r="V106" s="13"/>
      <c r="W106" s="2"/>
      <c r="X106" s="16"/>
      <c r="AA106" s="13"/>
      <c r="AC106" s="16"/>
    </row>
    <row r="107" customFormat="false" ht="13.5" hidden="false" customHeight="false" outlineLevel="0" collapsed="false">
      <c r="A107" s="1" t="s">
        <v>74</v>
      </c>
      <c r="B107" s="1" t="s">
        <v>54</v>
      </c>
      <c r="C107" s="1" t="s">
        <v>33</v>
      </c>
      <c r="D107" s="1" t="s">
        <v>33</v>
      </c>
      <c r="E107" s="1" t="n">
        <v>0</v>
      </c>
      <c r="G107" s="1" t="s">
        <v>31</v>
      </c>
      <c r="H107" s="1" t="s">
        <v>75</v>
      </c>
      <c r="O107" s="1" t="n">
        <v>1</v>
      </c>
      <c r="P107" s="13" t="n">
        <v>39</v>
      </c>
      <c r="Q107" s="13" t="n">
        <v>22.49134948</v>
      </c>
      <c r="R107" s="1"/>
      <c r="U107" s="14"/>
      <c r="V107" s="13"/>
      <c r="W107" s="2"/>
      <c r="X107" s="16"/>
      <c r="AA107" s="13"/>
      <c r="AC107" s="16"/>
    </row>
    <row r="108" customFormat="false" ht="13.5" hidden="false" customHeight="false" outlineLevel="0" collapsed="false">
      <c r="A108" s="1" t="s">
        <v>76</v>
      </c>
      <c r="B108" s="1" t="s">
        <v>31</v>
      </c>
      <c r="C108" s="1" t="s">
        <v>77</v>
      </c>
      <c r="D108" s="1" t="s">
        <v>33</v>
      </c>
      <c r="E108" s="1" t="n">
        <v>0</v>
      </c>
      <c r="G108" s="1" t="s">
        <v>31</v>
      </c>
      <c r="H108" s="1" t="s">
        <v>78</v>
      </c>
      <c r="O108" s="1" t="n">
        <v>0</v>
      </c>
      <c r="P108" s="13" t="n">
        <v>50</v>
      </c>
      <c r="Q108" s="13" t="n">
        <v>21.484375</v>
      </c>
      <c r="R108" s="1"/>
      <c r="U108" s="14"/>
      <c r="V108" s="13"/>
      <c r="W108" s="2"/>
      <c r="X108" s="16"/>
      <c r="AA108" s="13"/>
      <c r="AC108" s="16"/>
    </row>
    <row r="109" customFormat="false" ht="13.5" hidden="false" customHeight="false" outlineLevel="0" collapsed="false">
      <c r="A109" s="1" t="s">
        <v>79</v>
      </c>
      <c r="B109" s="1" t="s">
        <v>54</v>
      </c>
      <c r="C109" s="1" t="s">
        <v>33</v>
      </c>
      <c r="D109" s="1" t="s">
        <v>33</v>
      </c>
      <c r="E109" s="1" t="n">
        <v>0</v>
      </c>
      <c r="G109" s="1" t="s">
        <v>31</v>
      </c>
      <c r="H109" s="1" t="s">
        <v>80</v>
      </c>
      <c r="O109" s="1" t="n">
        <v>1</v>
      </c>
      <c r="P109" s="13" t="n">
        <v>49</v>
      </c>
      <c r="Q109" s="13" t="n">
        <v>22.49134948</v>
      </c>
      <c r="R109" s="1"/>
      <c r="U109" s="14"/>
      <c r="V109" s="13"/>
      <c r="W109" s="2"/>
      <c r="X109" s="16"/>
      <c r="AA109" s="13"/>
      <c r="AC109" s="16"/>
    </row>
    <row r="110" customFormat="false" ht="13.5" hidden="false" customHeight="false" outlineLevel="0" collapsed="false">
      <c r="A110" s="1" t="s">
        <v>81</v>
      </c>
      <c r="B110" s="1" t="s">
        <v>31</v>
      </c>
      <c r="C110" s="1" t="s">
        <v>82</v>
      </c>
      <c r="D110" s="1" t="s">
        <v>33</v>
      </c>
      <c r="E110" s="1" t="n">
        <v>0</v>
      </c>
      <c r="G110" s="1" t="s">
        <v>31</v>
      </c>
      <c r="H110" s="1" t="s">
        <v>83</v>
      </c>
      <c r="O110" s="1" t="n">
        <v>0</v>
      </c>
      <c r="P110" s="13" t="n">
        <v>52</v>
      </c>
      <c r="Q110" s="13" t="n">
        <v>23.4375</v>
      </c>
      <c r="R110" s="1"/>
      <c r="U110" s="14"/>
      <c r="V110" s="13"/>
      <c r="W110" s="2"/>
      <c r="X110" s="16"/>
      <c r="AA110" s="13"/>
      <c r="AC110" s="16"/>
    </row>
    <row r="111" customFormat="false" ht="13.5" hidden="false" customHeight="false" outlineLevel="0" collapsed="false">
      <c r="A111" s="1" t="s">
        <v>84</v>
      </c>
      <c r="B111" s="1" t="s">
        <v>31</v>
      </c>
      <c r="C111" s="1" t="s">
        <v>85</v>
      </c>
      <c r="D111" s="1" t="s">
        <v>33</v>
      </c>
      <c r="E111" s="1" t="n">
        <v>0</v>
      </c>
      <c r="G111" s="1" t="s">
        <v>31</v>
      </c>
      <c r="H111" s="1" t="s">
        <v>86</v>
      </c>
      <c r="O111" s="1" t="n">
        <v>0</v>
      </c>
      <c r="P111" s="13" t="n">
        <v>38</v>
      </c>
      <c r="Q111" s="13" t="n">
        <v>23.4375</v>
      </c>
      <c r="R111" s="1"/>
      <c r="U111" s="14"/>
      <c r="V111" s="13"/>
      <c r="W111" s="2"/>
      <c r="X111" s="16"/>
      <c r="AA111" s="13"/>
      <c r="AC111" s="16"/>
    </row>
    <row r="112" customFormat="false" ht="13.5" hidden="false" customHeight="false" outlineLevel="0" collapsed="false">
      <c r="A112" s="1" t="s">
        <v>87</v>
      </c>
      <c r="B112" s="1" t="s">
        <v>54</v>
      </c>
      <c r="C112" s="1" t="s">
        <v>33</v>
      </c>
      <c r="D112" s="1" t="s">
        <v>33</v>
      </c>
      <c r="E112" s="1" t="n">
        <v>0</v>
      </c>
      <c r="G112" s="1" t="s">
        <v>31</v>
      </c>
      <c r="H112" s="1" t="s">
        <v>88</v>
      </c>
      <c r="O112" s="1" t="n">
        <v>1</v>
      </c>
      <c r="P112" s="13" t="n">
        <v>55</v>
      </c>
      <c r="Q112" s="13" t="n">
        <v>22.49134948</v>
      </c>
      <c r="R112" s="1"/>
      <c r="U112" s="14"/>
      <c r="V112" s="13"/>
      <c r="W112" s="2"/>
      <c r="X112" s="16"/>
      <c r="AA112" s="13"/>
      <c r="AC112" s="16"/>
    </row>
    <row r="113" customFormat="false" ht="13.5" hidden="false" customHeight="false" outlineLevel="0" collapsed="false">
      <c r="A113" s="1" t="s">
        <v>89</v>
      </c>
      <c r="B113" s="1" t="s">
        <v>31</v>
      </c>
      <c r="C113" s="1" t="s">
        <v>90</v>
      </c>
      <c r="D113" s="1" t="s">
        <v>91</v>
      </c>
      <c r="E113" s="1" t="n">
        <v>0</v>
      </c>
      <c r="G113" s="1" t="s">
        <v>31</v>
      </c>
      <c r="H113" s="1" t="s">
        <v>92</v>
      </c>
      <c r="O113" s="1" t="n">
        <v>1</v>
      </c>
      <c r="P113" s="13" t="n">
        <v>51</v>
      </c>
      <c r="Q113" s="13" t="n">
        <v>26.98961938</v>
      </c>
      <c r="R113" s="1"/>
      <c r="U113" s="14"/>
      <c r="V113" s="13"/>
      <c r="W113" s="2"/>
      <c r="X113" s="16"/>
      <c r="AA113" s="13"/>
      <c r="AC113" s="16"/>
    </row>
    <row r="114" customFormat="false" ht="13.5" hidden="false" customHeight="false" outlineLevel="0" collapsed="false">
      <c r="A114" s="1" t="s">
        <v>93</v>
      </c>
      <c r="B114" s="1" t="s">
        <v>31</v>
      </c>
      <c r="C114" s="1" t="s">
        <v>94</v>
      </c>
      <c r="D114" s="1" t="s">
        <v>33</v>
      </c>
      <c r="E114" s="1" t="n">
        <v>0</v>
      </c>
      <c r="G114" s="1" t="s">
        <v>31</v>
      </c>
      <c r="H114" s="1" t="s">
        <v>95</v>
      </c>
      <c r="O114" s="1" t="n">
        <v>1</v>
      </c>
      <c r="P114" s="13" t="n">
        <v>43</v>
      </c>
      <c r="Q114" s="13" t="n">
        <v>22.49134948</v>
      </c>
      <c r="R114" s="1"/>
      <c r="U114" s="14"/>
      <c r="V114" s="13"/>
      <c r="W114" s="2"/>
      <c r="X114" s="16"/>
      <c r="AA114" s="13"/>
      <c r="AC114" s="16"/>
    </row>
    <row r="115" customFormat="false" ht="13.5" hidden="false" customHeight="false" outlineLevel="0" collapsed="false">
      <c r="A115" s="1" t="s">
        <v>96</v>
      </c>
      <c r="B115" s="1" t="s">
        <v>31</v>
      </c>
      <c r="C115" s="1" t="s">
        <v>97</v>
      </c>
      <c r="D115" s="1" t="s">
        <v>33</v>
      </c>
      <c r="E115" s="1" t="n">
        <v>0</v>
      </c>
      <c r="G115" s="1" t="s">
        <v>31</v>
      </c>
      <c r="H115" s="1" t="s">
        <v>98</v>
      </c>
      <c r="O115" s="1" t="n">
        <v>0</v>
      </c>
      <c r="P115" s="13" t="n">
        <v>38</v>
      </c>
      <c r="Q115" s="13" t="n">
        <v>19.921875</v>
      </c>
      <c r="R115" s="1"/>
      <c r="U115" s="14"/>
      <c r="V115" s="13"/>
      <c r="W115" s="2"/>
      <c r="X115" s="16"/>
      <c r="AA115" s="13"/>
      <c r="AC115" s="16"/>
    </row>
    <row r="116" customFormat="false" ht="13.5" hidden="false" customHeight="false" outlineLevel="0" collapsed="false">
      <c r="A116" s="1" t="s">
        <v>99</v>
      </c>
      <c r="B116" s="1" t="s">
        <v>31</v>
      </c>
      <c r="C116" s="1" t="s">
        <v>100</v>
      </c>
      <c r="D116" s="1" t="s">
        <v>33</v>
      </c>
      <c r="E116" s="1" t="n">
        <v>0</v>
      </c>
      <c r="G116" s="1" t="s">
        <v>31</v>
      </c>
      <c r="H116" s="1" t="s">
        <v>101</v>
      </c>
      <c r="O116" s="1" t="n">
        <v>0</v>
      </c>
      <c r="P116" s="13" t="n">
        <v>44</v>
      </c>
      <c r="Q116" s="13" t="n">
        <v>20.703125</v>
      </c>
      <c r="R116" s="1"/>
      <c r="U116" s="14"/>
      <c r="V116" s="13"/>
      <c r="W116" s="2"/>
      <c r="X116" s="16"/>
      <c r="AA116" s="13"/>
      <c r="AC116" s="16"/>
    </row>
    <row r="117" customFormat="false" ht="13.5" hidden="false" customHeight="false" outlineLevel="0" collapsed="false">
      <c r="A117" s="1" t="s">
        <v>102</v>
      </c>
      <c r="B117" s="1" t="s">
        <v>31</v>
      </c>
      <c r="C117" s="1" t="s">
        <v>103</v>
      </c>
      <c r="D117" s="1" t="s">
        <v>33</v>
      </c>
      <c r="E117" s="1" t="n">
        <v>0</v>
      </c>
      <c r="G117" s="1" t="s">
        <v>54</v>
      </c>
      <c r="H117" s="1" t="s">
        <v>33</v>
      </c>
      <c r="O117" s="1" t="n">
        <v>1</v>
      </c>
      <c r="P117" s="13" t="n">
        <v>28</v>
      </c>
      <c r="Q117" s="13" t="n">
        <v>27.6816609</v>
      </c>
      <c r="R117" s="1"/>
      <c r="U117" s="14"/>
      <c r="V117" s="13"/>
      <c r="W117" s="2"/>
      <c r="X117" s="16"/>
      <c r="AA117" s="13"/>
      <c r="AC117" s="16"/>
    </row>
    <row r="118" customFormat="false" ht="13.5" hidden="false" customHeight="false" outlineLevel="0" collapsed="false">
      <c r="A118" s="1" t="s">
        <v>104</v>
      </c>
      <c r="B118" s="1" t="s">
        <v>31</v>
      </c>
      <c r="C118" s="1" t="s">
        <v>105</v>
      </c>
      <c r="D118" s="1" t="s">
        <v>33</v>
      </c>
      <c r="E118" s="1" t="n">
        <v>0</v>
      </c>
      <c r="G118" s="1" t="s">
        <v>54</v>
      </c>
      <c r="H118" s="1" t="s">
        <v>33</v>
      </c>
      <c r="O118" s="1" t="n">
        <v>1</v>
      </c>
      <c r="P118" s="13" t="n">
        <v>38</v>
      </c>
      <c r="Q118" s="13" t="n">
        <v>32.87197232</v>
      </c>
      <c r="R118" s="1"/>
      <c r="U118" s="14"/>
      <c r="V118" s="13"/>
      <c r="W118" s="2"/>
      <c r="X118" s="16"/>
      <c r="AA118" s="13"/>
      <c r="AC118" s="16"/>
    </row>
    <row r="119" customFormat="false" ht="13.5" hidden="false" customHeight="false" outlineLevel="0" collapsed="false">
      <c r="A119" s="1" t="s">
        <v>106</v>
      </c>
      <c r="B119" s="1" t="s">
        <v>31</v>
      </c>
      <c r="C119" s="1" t="s">
        <v>107</v>
      </c>
      <c r="D119" s="1" t="s">
        <v>33</v>
      </c>
      <c r="E119" s="1" t="n">
        <v>0</v>
      </c>
      <c r="G119" s="1" t="s">
        <v>54</v>
      </c>
      <c r="H119" s="1" t="s">
        <v>33</v>
      </c>
      <c r="O119" s="1" t="n">
        <v>1</v>
      </c>
      <c r="P119" s="13" t="n">
        <v>54</v>
      </c>
      <c r="Q119" s="13" t="n">
        <v>27.6816609</v>
      </c>
    </row>
    <row r="123" customFormat="false" ht="13.5" hidden="false" customHeight="false" outlineLevel="0" collapsed="false">
      <c r="C123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2020-03-29T03:40:35Z</dcterms:created>
  <dc:creator>gaohh</dc:creator>
  <dc:description/>
  <dc:language>en-GB</dc:language>
  <cp:lastModifiedBy/>
  <cp:lastPrinted>2020-05-15T03:34:56Z</cp:lastPrinted>
  <dcterms:modified xsi:type="dcterms:W3CDTF">2026-01-27T09:46:12Z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